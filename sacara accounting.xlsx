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פרוייקטים\2.סקארה 2026\מסמכי הצעת מחיר\"/>
    </mc:Choice>
  </mc:AlternateContent>
  <xr:revisionPtr revIDLastSave="0" documentId="13_ncr:1_{077BD778-3BBB-475F-8144-A7DC51D7FD59}" xr6:coauthVersionLast="47" xr6:coauthVersionMax="47" xr10:uidLastSave="{00000000-0000-0000-0000-000000000000}"/>
  <bookViews>
    <workbookView xWindow="28692" yWindow="-36" windowWidth="29016" windowHeight="15696" xr2:uid="{3D483B1F-7C74-4E8C-9DA8-F282406415B4}"/>
  </bookViews>
  <sheets>
    <sheet name="סופי כולל" sheetId="1" r:id="rId1"/>
    <sheet name="הוצאות ימי עבודה" sheetId="4" r:id="rId2"/>
    <sheet name="הוצאות חומרים בניה " sheetId="3" r:id="rId3"/>
  </sheets>
  <externalReferences>
    <externalReference r:id="rId4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3" l="1"/>
  <c r="D52" i="4"/>
  <c r="D45" i="4"/>
  <c r="D41" i="4"/>
  <c r="D34" i="4"/>
  <c r="D25" i="4"/>
  <c r="D16" i="4"/>
  <c r="D7" i="4"/>
  <c r="E53" i="4"/>
  <c r="D67" i="3"/>
  <c r="D63" i="3"/>
  <c r="D57" i="3"/>
  <c r="D54" i="3"/>
  <c r="D47" i="3"/>
  <c r="D34" i="3"/>
  <c r="D32" i="3"/>
  <c r="D26" i="3"/>
  <c r="D12" i="3"/>
  <c r="D5" i="3"/>
  <c r="E70" i="3"/>
  <c r="D36" i="3"/>
  <c r="D41" i="3" s="1"/>
  <c r="E27" i="1"/>
  <c r="D27" i="1"/>
  <c r="F26" i="1"/>
  <c r="I26" i="1" s="1"/>
  <c r="I25" i="1"/>
  <c r="H25" i="1"/>
  <c r="G25" i="1"/>
  <c r="J25" i="1" s="1"/>
  <c r="F25" i="1"/>
  <c r="F24" i="1"/>
  <c r="I23" i="1"/>
  <c r="F23" i="1"/>
  <c r="H23" i="1" s="1"/>
  <c r="F22" i="1"/>
  <c r="F21" i="1"/>
  <c r="I20" i="1"/>
  <c r="H20" i="1"/>
  <c r="F20" i="1"/>
  <c r="G20" i="1" s="1"/>
  <c r="J20" i="1" s="1"/>
  <c r="F19" i="1"/>
  <c r="F18" i="1"/>
  <c r="I18" i="1" s="1"/>
  <c r="I17" i="1"/>
  <c r="H17" i="1"/>
  <c r="G17" i="1"/>
  <c r="J17" i="1" s="1"/>
  <c r="F17" i="1"/>
  <c r="F16" i="1"/>
  <c r="O15" i="1"/>
  <c r="F15" i="1"/>
  <c r="I14" i="1"/>
  <c r="H14" i="1"/>
  <c r="F14" i="1"/>
  <c r="G14" i="1" s="1"/>
  <c r="J14" i="1" s="1"/>
  <c r="F13" i="1"/>
  <c r="P12" i="1"/>
  <c r="F12" i="1"/>
  <c r="P11" i="1"/>
  <c r="I11" i="1"/>
  <c r="F11" i="1"/>
  <c r="H11" i="1" s="1"/>
  <c r="P10" i="1"/>
  <c r="I10" i="1"/>
  <c r="H10" i="1"/>
  <c r="G10" i="1"/>
  <c r="J10" i="1" s="1"/>
  <c r="F10" i="1"/>
  <c r="P9" i="1"/>
  <c r="O9" i="1"/>
  <c r="F9" i="1"/>
  <c r="F8" i="1"/>
  <c r="I7" i="1"/>
  <c r="H7" i="1"/>
  <c r="F7" i="1"/>
  <c r="G7" i="1" s="1"/>
  <c r="J7" i="1" s="1"/>
  <c r="F6" i="1"/>
  <c r="F5" i="1"/>
  <c r="I4" i="1"/>
  <c r="H4" i="1"/>
  <c r="F4" i="1"/>
  <c r="G4" i="1" s="1"/>
  <c r="J4" i="1" s="1"/>
  <c r="F3" i="1"/>
  <c r="F2" i="1"/>
  <c r="I2" i="1" s="1"/>
  <c r="D70" i="3" l="1"/>
  <c r="D53" i="4"/>
  <c r="J15" i="1"/>
  <c r="J19" i="1"/>
  <c r="G6" i="1"/>
  <c r="J6" i="1" s="1"/>
  <c r="G9" i="1"/>
  <c r="J9" i="1" s="1"/>
  <c r="G13" i="1"/>
  <c r="G19" i="1"/>
  <c r="H22" i="1"/>
  <c r="I6" i="1"/>
  <c r="I22" i="1"/>
  <c r="J22" i="1" s="1"/>
  <c r="G24" i="1"/>
  <c r="J24" i="1" s="1"/>
  <c r="F27" i="1"/>
  <c r="H2" i="1"/>
  <c r="I5" i="1"/>
  <c r="I8" i="1"/>
  <c r="G22" i="1"/>
  <c r="G3" i="1"/>
  <c r="J3" i="1" s="1"/>
  <c r="P6" i="1" s="1"/>
  <c r="P15" i="1" s="1"/>
  <c r="H6" i="1"/>
  <c r="H9" i="1"/>
  <c r="H3" i="1"/>
  <c r="I9" i="1"/>
  <c r="I27" i="1" s="1"/>
  <c r="H13" i="1"/>
  <c r="G16" i="1"/>
  <c r="H19" i="1"/>
  <c r="I3" i="1"/>
  <c r="G5" i="1"/>
  <c r="J5" i="1" s="1"/>
  <c r="G8" i="1"/>
  <c r="J8" i="1" s="1"/>
  <c r="G12" i="1"/>
  <c r="J12" i="1" s="1"/>
  <c r="I13" i="1"/>
  <c r="J13" i="1" s="1"/>
  <c r="G15" i="1"/>
  <c r="H16" i="1"/>
  <c r="I19" i="1"/>
  <c r="G21" i="1"/>
  <c r="J21" i="1" s="1"/>
  <c r="H24" i="1"/>
  <c r="G2" i="1"/>
  <c r="H5" i="1"/>
  <c r="H8" i="1"/>
  <c r="H12" i="1"/>
  <c r="H15" i="1"/>
  <c r="I16" i="1"/>
  <c r="J16" i="1" s="1"/>
  <c r="G18" i="1"/>
  <c r="J18" i="1" s="1"/>
  <c r="H21" i="1"/>
  <c r="I24" i="1"/>
  <c r="G26" i="1"/>
  <c r="J26" i="1" s="1"/>
  <c r="G11" i="1"/>
  <c r="J11" i="1" s="1"/>
  <c r="I12" i="1"/>
  <c r="I15" i="1"/>
  <c r="H18" i="1"/>
  <c r="I21" i="1"/>
  <c r="G23" i="1"/>
  <c r="J23" i="1" s="1"/>
  <c r="H26" i="1"/>
  <c r="H27" i="1" l="1"/>
  <c r="J2" i="1"/>
  <c r="J27" i="1" s="1"/>
  <c r="J29" i="1" s="1"/>
  <c r="G27" i="1"/>
</calcChain>
</file>

<file path=xl/sharedStrings.xml><?xml version="1.0" encoding="utf-8"?>
<sst xmlns="http://schemas.openxmlformats.org/spreadsheetml/2006/main" count="220" uniqueCount="166">
  <si>
    <t>קבוצה</t>
  </si>
  <si>
    <t>שם סעיף</t>
  </si>
  <si>
    <t>תאור</t>
  </si>
  <si>
    <t>עלות חומרים (E)</t>
  </si>
  <si>
    <t>עלות עבודה / סטודיו (S)</t>
  </si>
  <si>
    <t>עלות ישירה (E+S)</t>
  </si>
  <si>
    <t>אוברהד 15%</t>
  </si>
  <si>
    <t>סיכון 10%</t>
  </si>
  <si>
    <t>רווח 30%</t>
  </si>
  <si>
    <t>סה"כ ללקוח</t>
  </si>
  <si>
    <t>אלמנטים / סטודיו</t>
  </si>
  <si>
    <t>רצפת לינו וספי אלומיניום</t>
  </si>
  <si>
    <t>חיפוי מגירות</t>
  </si>
  <si>
    <t xml:space="preserve"> מדבקת בעיצוב של קטיפה עם נצנצים מודבקים בהקמה</t>
  </si>
  <si>
    <t xml:space="preserve">רקעי פיויסי לקירות </t>
  </si>
  <si>
    <t>כלל הקירות - צחי</t>
  </si>
  <si>
    <t>הדפסות חוזרות</t>
  </si>
  <si>
    <t>סעיף</t>
  </si>
  <si>
    <t>הצעה פרימיום</t>
  </si>
  <si>
    <t>הצעת מחיר</t>
  </si>
  <si>
    <t>הערות</t>
  </si>
  <si>
    <t>קיר נמרה – צמחיה, בסיס נמר ואבטחה</t>
  </si>
  <si>
    <t xml:space="preserve">קניית צמחית פלסטיק
צבע זהב
צביעת הצמחיה בסטודיו
צביעת הנמר זבהב
התקנה </t>
  </si>
  <si>
    <r>
      <rPr>
        <b/>
        <sz val="11"/>
        <color theme="1"/>
        <rFont val="Calibri"/>
        <family val="2"/>
      </rPr>
      <t>תקורה</t>
    </r>
    <r>
      <rPr>
        <sz val="11"/>
        <color theme="1"/>
        <rFont val="Calibri"/>
        <family val="2"/>
      </rPr>
      <t xml:space="preserve">
התקנה, פירוק, הובלות, 
עיצוב, גרפיקה, 
הדפסות קירות, מגירות, דמויות, מסגרות קרניזים</t>
    </r>
  </si>
  <si>
    <t>קרוסלת ליצנים – סוסים + פס דקורטיבי</t>
  </si>
  <si>
    <t xml:space="preserve">יציקה של 6 סוסים
צביעה של הסוסים בסטודיו
קנית והדבקת אביזרים
קרניז מעוגל לקרוסלה לקנות ולצבוע
</t>
  </si>
  <si>
    <t xml:space="preserve">רצפת לינו </t>
  </si>
  <si>
    <t>וילונות קטיפה</t>
  </si>
  <si>
    <t xml:space="preserve">קניה גזירה והכנה של וילונות קטיפה </t>
  </si>
  <si>
    <t xml:space="preserve">קיר נמרה </t>
  </si>
  <si>
    <t>צמצום צמחיה לחצי</t>
  </si>
  <si>
    <t>כנפיים ענקיות – מלאכית</t>
  </si>
  <si>
    <t>שלד מברזל 4 ממ שליאב מרתך 
נוצות מנייר עטיפה דקת לגזור ולהדביק בחלקים
8 ימים סה"כ, ריתוך, חיתוך נוצות, הדבקה ואריזה</t>
  </si>
  <si>
    <t xml:space="preserve">קרוסלת ליצנים </t>
  </si>
  <si>
    <t>סוסים דו מימדי</t>
  </si>
  <si>
    <t>אזור השטן – קאטאאוט להבות + תאורה</t>
  </si>
  <si>
    <t xml:space="preserve">לשלוח להדפסה
להכין ספייסרים או תושבת לתליה 
</t>
  </si>
  <si>
    <t>כנפיים מלאכית</t>
  </si>
  <si>
    <t>הקטנת כנפיים בחצי</t>
  </si>
  <si>
    <t>קונסטרוקטור</t>
  </si>
  <si>
    <t>אישור</t>
  </si>
  <si>
    <t xml:space="preserve">אזור השטן </t>
  </si>
  <si>
    <t>הקטנת תאורות ושכבות להבות</t>
  </si>
  <si>
    <t>אוכל סטודיו</t>
  </si>
  <si>
    <t>100 שקל ליום ל35 ימי עבודה</t>
  </si>
  <si>
    <t>תקרה</t>
  </si>
  <si>
    <t>8-10 פסי גרינלדה במקום פסי יהלומים</t>
  </si>
  <si>
    <t>אוכל התקנה</t>
  </si>
  <si>
    <t>אוכל ליום התקנה אחד לכעשרה אנשים, הזמנות וקניות</t>
  </si>
  <si>
    <t>שנדליר</t>
  </si>
  <si>
    <t>מוניות עובדים התקנה</t>
  </si>
  <si>
    <t xml:space="preserve"> שלט PURIM</t>
  </si>
  <si>
    <t>מחיר משוער - הצעה סופית בהתאם לגרפיקה ולגודל</t>
  </si>
  <si>
    <t>חומרי סטודיו מתכלים</t>
  </si>
  <si>
    <t>דבקים, סכינים, צבעים, יהלומים</t>
  </si>
  <si>
    <t xml:space="preserve">תקרה + חוטי יהלומים </t>
  </si>
  <si>
    <t xml:space="preserve">חיתוך גלילים לפסים של 15 סמ 
90 פסים של עד 10 מטר לתליה בהקמה
לשקול לקבוע מראש פסים למוטות לתליה בקבוצה - או לצינור מעוגל, שיתן לכל פס ללכת לזווית שלו במקום קבוצות
120 שקל למטר ל9 גלילים
חישוק במרכז
2 ימי עבודה
</t>
  </si>
  <si>
    <t xml:space="preserve">חישוקים עם פסי יהלומים
לקנות ולבנות בסטודיו
1 יום עבודה
</t>
  </si>
  <si>
    <t>מסגרות - קרניזים</t>
  </si>
  <si>
    <t>קניה של מסגרות
צביעה והרכבה בסטודיו
יום עבודה</t>
  </si>
  <si>
    <t>עיצוב שלט מודפס אצל צחי
הדגשת המילים עם pvc 2 mm מסביב
הכנת תשתית חשמל
קידוח מנורות
קניית תאורה
2 ימי עבודה</t>
  </si>
  <si>
    <t>קריאייטיב וניהול פרויקט (אם־לי)</t>
  </si>
  <si>
    <t>גרפיקה והדמיות (אודליה)</t>
  </si>
  <si>
    <t>לוגיסטיקה</t>
  </si>
  <si>
    <t>הובלות וציוד – התקנה</t>
  </si>
  <si>
    <t>משאית או 2 דוקאטו
השכרת פיגומים</t>
  </si>
  <si>
    <t>הובלות וציוד – פירוק</t>
  </si>
  <si>
    <t xml:space="preserve">ביקורי תיקונים </t>
  </si>
  <si>
    <t>תיקונים לאחר התקנה, לילה, פיגום</t>
  </si>
  <si>
    <t>התקנה ופירוק – שכר עובדים</t>
  </si>
  <si>
    <t>צוות התקנה – שכר עובדים</t>
  </si>
  <si>
    <t>10 עובדים בשכר גבוה כולל סופש לילה</t>
  </si>
  <si>
    <t>צוות פירוק – שכר עובדים</t>
  </si>
  <si>
    <t>שפכטלים
5 עובדים בשכר גבוה כולל סופש לילה</t>
  </si>
  <si>
    <t>סה"כ</t>
  </si>
  <si>
    <t xml:space="preserve">כנפיים מלאכית </t>
  </si>
  <si>
    <t>סהכ</t>
  </si>
  <si>
    <t xml:space="preserve">תאורת לדים לכנפיים </t>
  </si>
  <si>
    <t>שטן</t>
  </si>
  <si>
    <t>כנפיים</t>
  </si>
  <si>
    <t xml:space="preserve">מסגרות קרניזים </t>
  </si>
  <si>
    <t xml:space="preserve">הדפסת סוסים </t>
  </si>
  <si>
    <t xml:space="preserve">תוספות עיטורים (שרשרות יהלומים וכו) </t>
  </si>
  <si>
    <t xml:space="preserve">פס עליון של קרוסלה </t>
  </si>
  <si>
    <t xml:space="preserve">לבדוק אם יוצא מפה או מהדפסות קירות </t>
  </si>
  <si>
    <t xml:space="preserve">קרניזים בולטים רכים לקרוסלה </t>
  </si>
  <si>
    <t>קרוסלת ליצנים</t>
  </si>
  <si>
    <t xml:space="preserve">במקום וילונות קטיפה </t>
  </si>
  <si>
    <t xml:space="preserve">2 לדים של 15 מטר כל אחד </t>
  </si>
  <si>
    <t>להכפיל בתא בשביל דולרי</t>
  </si>
  <si>
    <t>חומרים מתכלים</t>
  </si>
  <si>
    <t xml:space="preserve">אוכל סטודיו </t>
  </si>
  <si>
    <t xml:space="preserve">ריצפה </t>
  </si>
  <si>
    <t>רקעים ודמויות צחי</t>
  </si>
  <si>
    <t>קיר נמרה</t>
  </si>
  <si>
    <t>4 יחידות סטריפ לד כתום -</t>
  </si>
  <si>
    <t xml:space="preserve">כמות </t>
  </si>
  <si>
    <t>כמות</t>
  </si>
  <si>
    <t>עלות עבודת סטודיו (S)</t>
  </si>
  <si>
    <t xml:space="preserve">שלד ברזל </t>
  </si>
  <si>
    <t xml:space="preserve">טסטים </t>
  </si>
  <si>
    <t xml:space="preserve">חיתוך כנפיים </t>
  </si>
  <si>
    <t xml:space="preserve">הדבקת כנפיים </t>
  </si>
  <si>
    <t xml:space="preserve">רכישה של ספוג + ברזל </t>
  </si>
  <si>
    <t xml:space="preserve">קניית צבע זהב </t>
  </si>
  <si>
    <t xml:space="preserve">צביעה של כל  הצמחיה בזהב </t>
  </si>
  <si>
    <t xml:space="preserve">לבדוק גם צביעה של חבלים בזהב </t>
  </si>
  <si>
    <t xml:space="preserve">צביעה של נמר בזהב </t>
  </si>
  <si>
    <t xml:space="preserve">קניה של נצנצים ודבק פלסטיק </t>
  </si>
  <si>
    <t xml:space="preserve">נצנוץ של הקירות ויהלומים </t>
  </si>
  <si>
    <t xml:space="preserve">הלומים, נצנצים ואולי שכורים/שרשראות לסוסים עצמם </t>
  </si>
  <si>
    <t xml:space="preserve">תוספות לסוסים המודפסים </t>
  </si>
  <si>
    <t xml:space="preserve">תוספת קרניז רך לפס העליון </t>
  </si>
  <si>
    <t xml:space="preserve">צביעה של קו חיתוך סוסים </t>
  </si>
  <si>
    <t xml:space="preserve">הכנה של חיבור לתקרה סוסים </t>
  </si>
  <si>
    <t>תיבת פיויסי עם כל התאורה  לרקע הכפול</t>
  </si>
  <si>
    <t xml:space="preserve">חיתוך מסגרות </t>
  </si>
  <si>
    <t xml:space="preserve">הדבקת מסגרות </t>
  </si>
  <si>
    <t xml:space="preserve">צביעת מסגרות </t>
  </si>
  <si>
    <t xml:space="preserve">מסגרות - קרניזים </t>
  </si>
  <si>
    <t xml:space="preserve">לליצנים 2 מסגרות - לנמרה 3 מסגרות </t>
  </si>
  <si>
    <t xml:space="preserve">טסט תאורת אש </t>
  </si>
  <si>
    <t xml:space="preserve">חיבור תאורה לפי מיקומי חיתוכים </t>
  </si>
  <si>
    <t xml:space="preserve"> להוסיף עץ למדף נמר</t>
  </si>
  <si>
    <t>באיזור של הקיר הארוך כדי שיגיע לקיר למרות ההרחקה של השפרייצים רקע</t>
  </si>
  <si>
    <t>יצירת טבעת תלויה מהתקרה עם 4 שרשראות דקות</t>
  </si>
  <si>
    <t xml:space="preserve">טבעת מרכזית </t>
  </si>
  <si>
    <t xml:space="preserve">גרילנדות </t>
  </si>
  <si>
    <t xml:space="preserve">ליצר חשמל מאוחד לכל הגרילנדות </t>
  </si>
  <si>
    <t xml:space="preserve">תכנון כנפיים  ליאב </t>
  </si>
  <si>
    <t>חישמול והכנה לחיבור ובדיקת חימום של התאורה</t>
  </si>
  <si>
    <t>למדוד מדוייק שוב את הקירות המיועדים בסניף</t>
  </si>
  <si>
    <t>להזמין מאביזמל ב27+מעמ או ממקום אחר</t>
  </si>
  <si>
    <t>לוודא עם ליה אם140  כולל מחסן או לא</t>
  </si>
  <si>
    <t>ספים לדלת</t>
  </si>
  <si>
    <t xml:space="preserve">למדוד אורך ולוודא שלא מפריע לדלת </t>
  </si>
  <si>
    <t xml:space="preserve">דוץ </t>
  </si>
  <si>
    <t xml:space="preserve">לחשב כמה בערך צריך ואם יש מקומות שצריך סף צד </t>
  </si>
  <si>
    <t xml:space="preserve">הזמנת מדבקות לכל האיזורים הנחוצים </t>
  </si>
  <si>
    <t xml:space="preserve">קניית דבק פלסטיק גדול </t>
  </si>
  <si>
    <t xml:space="preserve">קניית רולרים שטוחים </t>
  </si>
  <si>
    <t xml:space="preserve">קניית נצנצים  שחור כסוף </t>
  </si>
  <si>
    <t xml:space="preserve">קניית נצנצים לפי צבעי הפלטה </t>
  </si>
  <si>
    <t xml:space="preserve">קניית דבק פלסטיק </t>
  </si>
  <si>
    <t xml:space="preserve">הדפסת רקעים </t>
  </si>
  <si>
    <t>הדפסת דמויות דוץ איפה שצריך</t>
  </si>
  <si>
    <t xml:space="preserve">ספוג לבן כלשהו כדי לחתוך נוצות </t>
  </si>
  <si>
    <t xml:space="preserve">ברזל לשלד </t>
  </si>
  <si>
    <t xml:space="preserve">פרופוקסי </t>
  </si>
  <si>
    <t xml:space="preserve">אלקטרודות וחומרי ריתוך </t>
  </si>
  <si>
    <t xml:space="preserve">תאורה כתומה - עלי </t>
  </si>
  <si>
    <t xml:space="preserve">תוארת אש מרצדת - עלי </t>
  </si>
  <si>
    <t xml:space="preserve">סהכ 40 פסים של תאורה </t>
  </si>
  <si>
    <t>שרשראות לד חזקות</t>
  </si>
  <si>
    <t xml:space="preserve">הזמנת צימחיה מפלסטיק </t>
  </si>
  <si>
    <t xml:space="preserve">מנוע לסובב את המסגרות? </t>
  </si>
  <si>
    <t xml:space="preserve">ליאב </t>
  </si>
  <si>
    <t xml:space="preserve">עלי דקל 10 יחידות *10 </t>
  </si>
  <si>
    <t>עלי עצים קטנים 30*30 6*10</t>
  </si>
  <si>
    <t xml:space="preserve">עלי דקל 46 ס"מ  3 יחידות *  20 יחידות </t>
  </si>
  <si>
    <t xml:space="preserve">עלי מונסטרה 30 ס"מ 5 * 5 ₪ </t>
  </si>
  <si>
    <t xml:space="preserve">קנית צבע זהב ישן  + שחור </t>
  </si>
  <si>
    <t xml:space="preserve">משוער 10-15 מעטר </t>
  </si>
  <si>
    <t xml:space="preserve">עלות כל הצמחיה מעלי </t>
  </si>
  <si>
    <t xml:space="preserve">17 יחידות </t>
  </si>
  <si>
    <t xml:space="preserve">גרילנדות קטנות 6 מטר לאחת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</si>
</sst>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BE4D5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</cellStyleXfs>
  <cellXfs count="76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4" fillId="0" borderId="0" xfId="0" applyNumberFormat="1" applyFont="1"/>
    <xf numFmtId="3" fontId="5" fillId="0" borderId="0" xfId="0" applyNumberFormat="1" applyFont="1"/>
    <xf numFmtId="0" fontId="4" fillId="5" borderId="0" xfId="0" applyFont="1" applyFill="1"/>
    <xf numFmtId="0" fontId="4" fillId="0" borderId="0" xfId="0" applyFont="1"/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horizontal="right"/>
    </xf>
    <xf numFmtId="0" fontId="5" fillId="5" borderId="0" xfId="0" applyFont="1" applyFill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5" fillId="4" borderId="1" xfId="3" applyFont="1" applyAlignment="1">
      <alignment vertical="center" wrapText="1"/>
    </xf>
    <xf numFmtId="3" fontId="5" fillId="4" borderId="1" xfId="3" applyNumberFormat="1" applyFont="1" applyAlignment="1">
      <alignment vertical="center" wrapText="1"/>
    </xf>
    <xf numFmtId="0" fontId="3" fillId="3" borderId="0" xfId="2"/>
    <xf numFmtId="3" fontId="3" fillId="3" borderId="0" xfId="2" applyNumberFormat="1" applyAlignment="1">
      <alignment vertical="center" wrapText="1"/>
    </xf>
    <xf numFmtId="0" fontId="4" fillId="6" borderId="1" xfId="3" applyFont="1" applyFill="1" applyAlignment="1">
      <alignment vertical="center" wrapText="1"/>
    </xf>
    <xf numFmtId="0" fontId="5" fillId="6" borderId="1" xfId="3" applyFont="1" applyFill="1" applyAlignment="1">
      <alignment vertical="center" wrapText="1"/>
    </xf>
    <xf numFmtId="3" fontId="5" fillId="6" borderId="1" xfId="3" applyNumberFormat="1" applyFont="1" applyFill="1" applyAlignment="1">
      <alignment vertical="center" wrapText="1"/>
    </xf>
    <xf numFmtId="0" fontId="5" fillId="6" borderId="2" xfId="3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7" fillId="0" borderId="5" xfId="0" applyFont="1" applyFill="1" applyBorder="1"/>
    <xf numFmtId="0" fontId="6" fillId="0" borderId="6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3" fontId="6" fillId="0" borderId="7" xfId="0" applyNumberFormat="1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2" fillId="2" borderId="0" xfId="1"/>
    <xf numFmtId="0" fontId="8" fillId="0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3" fontId="5" fillId="0" borderId="5" xfId="0" applyNumberFormat="1" applyFont="1" applyBorder="1" applyAlignment="1">
      <alignment vertical="center" wrapText="1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3" fontId="5" fillId="0" borderId="7" xfId="0" applyNumberFormat="1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5" fillId="6" borderId="11" xfId="3" applyFont="1" applyFill="1" applyBorder="1" applyAlignment="1">
      <alignment vertical="center" wrapText="1"/>
    </xf>
    <xf numFmtId="0" fontId="0" fillId="0" borderId="5" xfId="0" applyBorder="1"/>
    <xf numFmtId="0" fontId="4" fillId="6" borderId="11" xfId="3" applyFont="1" applyFill="1" applyBorder="1" applyAlignment="1">
      <alignment vertical="center" wrapText="1"/>
    </xf>
    <xf numFmtId="3" fontId="5" fillId="6" borderId="11" xfId="3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3" fontId="6" fillId="4" borderId="1" xfId="3" applyNumberFormat="1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3" fontId="5" fillId="0" borderId="5" xfId="0" applyNumberFormat="1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3" fontId="5" fillId="0" borderId="7" xfId="0" applyNumberFormat="1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3" fontId="5" fillId="8" borderId="10" xfId="0" applyNumberFormat="1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0" fontId="2" fillId="7" borderId="0" xfId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3" fontId="0" fillId="8" borderId="10" xfId="0" applyNumberForma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5" fillId="9" borderId="1" xfId="3" applyFont="1" applyFill="1" applyAlignment="1">
      <alignment vertical="center" wrapText="1"/>
    </xf>
    <xf numFmtId="0" fontId="4" fillId="0" borderId="6" xfId="0" applyFont="1" applyBorder="1" applyAlignment="1">
      <alignment vertical="center" wrapText="1"/>
    </xf>
  </cellXfs>
  <cellStyles count="4">
    <cellStyle name="Normal" xfId="0" builtinId="0"/>
    <cellStyle name="הערה" xfId="3" builtinId="10"/>
    <cellStyle name="טוב" xfId="1" builtinId="26"/>
    <cellStyle name="ניטראלי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6;&#1493;&#1514;&#1511;%20&#1513;&#1500;%20&#1505;&#1511;&#1488;&#1512;&#1492;%2026%20&#1514;&#1499;&#1504;&#1493;&#1503;%2026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סופי מחולק"/>
      <sheetName val="סוםי מסודר (180"/>
      <sheetName val="גיליון6"/>
      <sheetName val="סופי"/>
      <sheetName val="סוםי מסודר"/>
      <sheetName val="לפי אזורים"/>
      <sheetName val="סניף מיני"/>
      <sheetName val="175 לשיחת דיוקים"/>
    </sheetNames>
    <sheetDataSet>
      <sheetData sheetId="0" refreshError="1"/>
      <sheetData sheetId="1">
        <row r="7">
          <cell r="K7">
            <v>4650</v>
          </cell>
        </row>
        <row r="8">
          <cell r="K8">
            <v>2325</v>
          </cell>
        </row>
        <row r="9">
          <cell r="K9">
            <v>9687.5</v>
          </cell>
        </row>
        <row r="10">
          <cell r="L10">
            <v>4650</v>
          </cell>
        </row>
        <row r="16">
          <cell r="K16">
            <v>2325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341D-2094-4421-AE58-7A21B3E802B1}">
  <dimension ref="A1:Q1000"/>
  <sheetViews>
    <sheetView rightToLeft="1" tabSelected="1" workbookViewId="0">
      <selection activeCell="C29" sqref="C29"/>
    </sheetView>
  </sheetViews>
  <sheetFormatPr defaultColWidth="14.44140625" defaultRowHeight="15" customHeight="1" x14ac:dyDescent="0.3"/>
  <cols>
    <col min="1" max="1" width="25.6640625" customWidth="1"/>
    <col min="2" max="3" width="36.6640625" customWidth="1"/>
    <col min="4" max="4" width="13.44140625" customWidth="1"/>
    <col min="5" max="5" width="18.88671875" customWidth="1"/>
    <col min="6" max="6" width="14.33203125" customWidth="1"/>
    <col min="7" max="7" width="10.33203125" customWidth="1"/>
    <col min="8" max="8" width="8.44140625" customWidth="1"/>
    <col min="9" max="9" width="7.88671875" customWidth="1"/>
    <col min="10" max="10" width="10.33203125" customWidth="1"/>
    <col min="11" max="11" width="19.5546875" customWidth="1"/>
    <col min="12" max="12" width="20.33203125" customWidth="1"/>
    <col min="13" max="13" width="51.88671875" customWidth="1"/>
    <col min="14" max="14" width="40.6640625" customWidth="1"/>
    <col min="15" max="15" width="19.5546875" customWidth="1"/>
    <col min="16" max="16" width="16.33203125" customWidth="1"/>
    <col min="17" max="26" width="51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14.25" customHeight="1" x14ac:dyDescent="0.3">
      <c r="A2" s="2" t="s">
        <v>10</v>
      </c>
      <c r="B2" s="2" t="s">
        <v>11</v>
      </c>
      <c r="C2" s="2"/>
      <c r="D2" s="3">
        <v>4300</v>
      </c>
      <c r="E2" s="2">
        <v>0</v>
      </c>
      <c r="F2" s="4">
        <f t="shared" ref="F2:F26" si="0">+D2+E2</f>
        <v>4300</v>
      </c>
      <c r="G2" s="5">
        <f t="shared" ref="G2:G26" si="1">+F2*0.15</f>
        <v>645</v>
      </c>
      <c r="H2" s="5">
        <f t="shared" ref="H2:H26" si="2">+F2*0.1</f>
        <v>430</v>
      </c>
      <c r="I2" s="5">
        <f t="shared" ref="I2:I26" si="3">+F2*0.3</f>
        <v>1290</v>
      </c>
      <c r="J2" s="4">
        <f t="shared" ref="J2:J26" si="4">SUM(F2:I2)</f>
        <v>6665</v>
      </c>
    </row>
    <row r="3" spans="1:17" ht="14.25" customHeight="1" x14ac:dyDescent="0.3">
      <c r="A3" s="2" t="s">
        <v>10</v>
      </c>
      <c r="B3" s="2" t="s">
        <v>12</v>
      </c>
      <c r="C3" s="2" t="s">
        <v>13</v>
      </c>
      <c r="D3" s="3">
        <v>3900</v>
      </c>
      <c r="E3" s="3"/>
      <c r="F3" s="4">
        <f t="shared" si="0"/>
        <v>3900</v>
      </c>
      <c r="G3" s="5">
        <f t="shared" si="1"/>
        <v>585</v>
      </c>
      <c r="H3" s="5">
        <f t="shared" si="2"/>
        <v>390</v>
      </c>
      <c r="I3" s="5">
        <f t="shared" si="3"/>
        <v>1170</v>
      </c>
      <c r="J3" s="4">
        <f t="shared" si="4"/>
        <v>6045</v>
      </c>
      <c r="L3" s="5"/>
    </row>
    <row r="4" spans="1:17" ht="14.25" customHeight="1" x14ac:dyDescent="0.3">
      <c r="A4" s="2" t="s">
        <v>10</v>
      </c>
      <c r="B4" s="2" t="s">
        <v>14</v>
      </c>
      <c r="C4" s="2" t="s">
        <v>15</v>
      </c>
      <c r="D4" s="3">
        <v>16700</v>
      </c>
      <c r="E4" s="3">
        <v>1500</v>
      </c>
      <c r="F4" s="4">
        <f t="shared" si="0"/>
        <v>18200</v>
      </c>
      <c r="G4" s="5">
        <f t="shared" si="1"/>
        <v>2730</v>
      </c>
      <c r="H4" s="5">
        <f t="shared" si="2"/>
        <v>1820</v>
      </c>
      <c r="I4" s="5">
        <f t="shared" si="3"/>
        <v>5460</v>
      </c>
      <c r="J4" s="4">
        <f t="shared" si="4"/>
        <v>28210</v>
      </c>
    </row>
    <row r="5" spans="1:17" ht="13.5" customHeight="1" x14ac:dyDescent="0.3">
      <c r="A5" s="2" t="s">
        <v>10</v>
      </c>
      <c r="B5" s="2" t="s">
        <v>16</v>
      </c>
      <c r="C5" s="2"/>
      <c r="D5" s="2">
        <v>0</v>
      </c>
      <c r="E5" s="2">
        <v>0</v>
      </c>
      <c r="F5" s="4">
        <f t="shared" si="0"/>
        <v>0</v>
      </c>
      <c r="G5" s="5">
        <f t="shared" si="1"/>
        <v>0</v>
      </c>
      <c r="H5" s="5">
        <f t="shared" si="2"/>
        <v>0</v>
      </c>
      <c r="I5" s="5">
        <f t="shared" si="3"/>
        <v>0</v>
      </c>
      <c r="J5" s="4">
        <f t="shared" si="4"/>
        <v>0</v>
      </c>
      <c r="N5" s="6" t="s">
        <v>17</v>
      </c>
      <c r="O5" s="7" t="s">
        <v>18</v>
      </c>
      <c r="P5" s="7" t="s">
        <v>19</v>
      </c>
      <c r="Q5" s="7" t="s">
        <v>20</v>
      </c>
    </row>
    <row r="6" spans="1:17" ht="57.75" customHeight="1" x14ac:dyDescent="0.3">
      <c r="A6" s="2" t="s">
        <v>10</v>
      </c>
      <c r="B6" s="2" t="s">
        <v>21</v>
      </c>
      <c r="C6" s="2" t="s">
        <v>22</v>
      </c>
      <c r="D6" s="3">
        <v>3000</v>
      </c>
      <c r="E6" s="3">
        <v>2000</v>
      </c>
      <c r="F6" s="4">
        <f t="shared" si="0"/>
        <v>5000</v>
      </c>
      <c r="G6" s="5">
        <f t="shared" si="1"/>
        <v>750</v>
      </c>
      <c r="H6" s="5">
        <f t="shared" si="2"/>
        <v>500</v>
      </c>
      <c r="I6" s="5">
        <f t="shared" si="3"/>
        <v>1500</v>
      </c>
      <c r="J6" s="4">
        <f t="shared" si="4"/>
        <v>7750</v>
      </c>
      <c r="N6" s="8" t="s">
        <v>23</v>
      </c>
      <c r="O6" s="5">
        <v>143840</v>
      </c>
      <c r="P6" s="5">
        <f>+J3+J4+J11+J12+J13+J14+J15+J18+J21+J22+J23+J24+J25+J26</f>
        <v>143530</v>
      </c>
    </row>
    <row r="7" spans="1:17" ht="14.25" customHeight="1" x14ac:dyDescent="0.3">
      <c r="A7" s="2" t="s">
        <v>10</v>
      </c>
      <c r="B7" s="2" t="s">
        <v>24</v>
      </c>
      <c r="C7" s="2" t="s">
        <v>25</v>
      </c>
      <c r="D7" s="3">
        <v>2000</v>
      </c>
      <c r="E7" s="3">
        <v>4000</v>
      </c>
      <c r="F7" s="4">
        <f t="shared" si="0"/>
        <v>6000</v>
      </c>
      <c r="G7" s="5">
        <f t="shared" si="1"/>
        <v>900</v>
      </c>
      <c r="H7" s="5">
        <f t="shared" si="2"/>
        <v>600</v>
      </c>
      <c r="I7" s="5">
        <f t="shared" si="3"/>
        <v>1800</v>
      </c>
      <c r="J7" s="4">
        <f t="shared" si="4"/>
        <v>9300</v>
      </c>
      <c r="N7" s="9" t="s">
        <v>26</v>
      </c>
      <c r="O7" s="5">
        <v>9300</v>
      </c>
      <c r="P7" s="5">
        <v>0</v>
      </c>
    </row>
    <row r="8" spans="1:17" ht="14.25" customHeight="1" x14ac:dyDescent="0.3">
      <c r="A8" s="2" t="s">
        <v>10</v>
      </c>
      <c r="B8" s="2" t="s">
        <v>27</v>
      </c>
      <c r="C8" s="2" t="s">
        <v>28</v>
      </c>
      <c r="D8" s="3">
        <v>700</v>
      </c>
      <c r="E8" s="3">
        <v>800</v>
      </c>
      <c r="F8" s="4">
        <f t="shared" si="0"/>
        <v>1500</v>
      </c>
      <c r="G8" s="5">
        <f t="shared" si="1"/>
        <v>225</v>
      </c>
      <c r="H8" s="5">
        <f t="shared" si="2"/>
        <v>150</v>
      </c>
      <c r="I8" s="5">
        <f t="shared" si="3"/>
        <v>450</v>
      </c>
      <c r="J8" s="4">
        <f t="shared" si="4"/>
        <v>2325</v>
      </c>
      <c r="N8" s="9" t="s">
        <v>29</v>
      </c>
      <c r="O8" s="5">
        <v>10850</v>
      </c>
      <c r="P8" s="5">
        <v>5425</v>
      </c>
      <c r="Q8" s="10" t="s">
        <v>30</v>
      </c>
    </row>
    <row r="9" spans="1:17" ht="14.25" customHeight="1" x14ac:dyDescent="0.3">
      <c r="A9" s="2" t="s">
        <v>10</v>
      </c>
      <c r="B9" s="2" t="s">
        <v>31</v>
      </c>
      <c r="C9" s="2" t="s">
        <v>32</v>
      </c>
      <c r="D9" s="3">
        <v>2400</v>
      </c>
      <c r="E9" s="3">
        <v>8000</v>
      </c>
      <c r="F9" s="4">
        <f t="shared" si="0"/>
        <v>10400</v>
      </c>
      <c r="G9" s="5">
        <f t="shared" si="1"/>
        <v>1560</v>
      </c>
      <c r="H9" s="5">
        <f t="shared" si="2"/>
        <v>1040</v>
      </c>
      <c r="I9" s="5">
        <f t="shared" si="3"/>
        <v>3120</v>
      </c>
      <c r="J9" s="4">
        <f t="shared" si="4"/>
        <v>16120</v>
      </c>
      <c r="N9" s="9" t="s">
        <v>33</v>
      </c>
      <c r="O9" s="5">
        <f>20150+2325</f>
        <v>22475</v>
      </c>
      <c r="P9" s="5">
        <f>+'[1]סוםי מסודר (180'!K7+'[1]סוםי מסודר (180'!K8</f>
        <v>6975</v>
      </c>
      <c r="Q9" s="10" t="s">
        <v>34</v>
      </c>
    </row>
    <row r="10" spans="1:17" ht="14.25" customHeight="1" x14ac:dyDescent="0.3">
      <c r="A10" s="2" t="s">
        <v>10</v>
      </c>
      <c r="B10" s="2" t="s">
        <v>35</v>
      </c>
      <c r="C10" s="2" t="s">
        <v>36</v>
      </c>
      <c r="D10" s="3">
        <v>3500</v>
      </c>
      <c r="E10" s="3">
        <v>1500</v>
      </c>
      <c r="F10" s="4">
        <f t="shared" si="0"/>
        <v>5000</v>
      </c>
      <c r="G10" s="5">
        <f t="shared" si="1"/>
        <v>750</v>
      </c>
      <c r="H10" s="5">
        <f t="shared" si="2"/>
        <v>500</v>
      </c>
      <c r="I10" s="5">
        <f t="shared" si="3"/>
        <v>1500</v>
      </c>
      <c r="J10" s="4">
        <f t="shared" si="4"/>
        <v>7750</v>
      </c>
      <c r="N10" s="9" t="s">
        <v>37</v>
      </c>
      <c r="O10" s="5">
        <v>16275</v>
      </c>
      <c r="P10" s="5">
        <f>+'[1]סוםי מסודר (180'!K9</f>
        <v>9687.5</v>
      </c>
      <c r="Q10" s="10" t="s">
        <v>38</v>
      </c>
    </row>
    <row r="11" spans="1:17" ht="14.25" customHeight="1" x14ac:dyDescent="0.3">
      <c r="A11" s="2" t="s">
        <v>10</v>
      </c>
      <c r="B11" s="2" t="s">
        <v>39</v>
      </c>
      <c r="C11" s="2" t="s">
        <v>40</v>
      </c>
      <c r="D11" s="3"/>
      <c r="E11" s="2">
        <v>2000</v>
      </c>
      <c r="F11" s="4">
        <f t="shared" si="0"/>
        <v>2000</v>
      </c>
      <c r="G11" s="5">
        <f t="shared" si="1"/>
        <v>300</v>
      </c>
      <c r="H11" s="5">
        <f t="shared" si="2"/>
        <v>200</v>
      </c>
      <c r="I11" s="5">
        <f t="shared" si="3"/>
        <v>600</v>
      </c>
      <c r="J11" s="4">
        <f t="shared" si="4"/>
        <v>3100</v>
      </c>
      <c r="N11" s="9" t="s">
        <v>41</v>
      </c>
      <c r="O11" s="5">
        <v>7650</v>
      </c>
      <c r="P11" s="5">
        <f>+'[1]סוםי מסודר (180'!L10</f>
        <v>4650</v>
      </c>
      <c r="Q11" s="10" t="s">
        <v>42</v>
      </c>
    </row>
    <row r="12" spans="1:17" ht="14.25" customHeight="1" x14ac:dyDescent="0.3">
      <c r="A12" s="2" t="s">
        <v>10</v>
      </c>
      <c r="B12" s="2" t="s">
        <v>43</v>
      </c>
      <c r="C12" s="2" t="s">
        <v>44</v>
      </c>
      <c r="D12" s="3">
        <v>2900</v>
      </c>
      <c r="E12" s="2"/>
      <c r="F12" s="4">
        <f t="shared" si="0"/>
        <v>2900</v>
      </c>
      <c r="G12" s="5">
        <f t="shared" si="1"/>
        <v>435</v>
      </c>
      <c r="H12" s="5">
        <f t="shared" si="2"/>
        <v>290</v>
      </c>
      <c r="I12" s="5">
        <f t="shared" si="3"/>
        <v>870</v>
      </c>
      <c r="J12" s="4">
        <f t="shared" si="4"/>
        <v>4495</v>
      </c>
      <c r="L12" s="10"/>
      <c r="N12" s="9" t="s">
        <v>45</v>
      </c>
      <c r="O12" s="5">
        <v>15500</v>
      </c>
      <c r="P12" s="5">
        <f>+'[1]סוםי מסודר (180'!K16</f>
        <v>2325</v>
      </c>
      <c r="Q12" s="11" t="s">
        <v>46</v>
      </c>
    </row>
    <row r="13" spans="1:17" ht="14.25" customHeight="1" x14ac:dyDescent="0.3">
      <c r="A13" s="2" t="s">
        <v>10</v>
      </c>
      <c r="B13" s="2" t="s">
        <v>47</v>
      </c>
      <c r="C13" s="2" t="s">
        <v>48</v>
      </c>
      <c r="D13" s="3">
        <v>1500</v>
      </c>
      <c r="E13" s="2">
        <v>0</v>
      </c>
      <c r="F13" s="4">
        <f t="shared" si="0"/>
        <v>1500</v>
      </c>
      <c r="G13" s="5">
        <f t="shared" si="1"/>
        <v>225</v>
      </c>
      <c r="H13" s="5">
        <f t="shared" si="2"/>
        <v>150</v>
      </c>
      <c r="I13" s="5">
        <f t="shared" si="3"/>
        <v>450</v>
      </c>
      <c r="J13" s="4">
        <f t="shared" si="4"/>
        <v>2325</v>
      </c>
      <c r="L13" s="10"/>
      <c r="N13" s="9" t="s">
        <v>49</v>
      </c>
      <c r="O13" s="5">
        <v>4650</v>
      </c>
      <c r="P13" s="5">
        <v>0</v>
      </c>
    </row>
    <row r="14" spans="1:17" ht="14.25" customHeight="1" x14ac:dyDescent="0.3">
      <c r="A14" s="2" t="s">
        <v>10</v>
      </c>
      <c r="B14" s="2" t="s">
        <v>50</v>
      </c>
      <c r="C14" s="2"/>
      <c r="D14" s="3">
        <v>1500</v>
      </c>
      <c r="E14" s="2"/>
      <c r="F14" s="4">
        <f t="shared" si="0"/>
        <v>1500</v>
      </c>
      <c r="G14" s="5">
        <f t="shared" si="1"/>
        <v>225</v>
      </c>
      <c r="H14" s="5">
        <f t="shared" si="2"/>
        <v>150</v>
      </c>
      <c r="I14" s="5">
        <f t="shared" si="3"/>
        <v>450</v>
      </c>
      <c r="J14" s="4">
        <f t="shared" si="4"/>
        <v>2325</v>
      </c>
      <c r="L14" s="10"/>
      <c r="N14" s="9" t="s">
        <v>51</v>
      </c>
      <c r="O14" s="5">
        <v>8500</v>
      </c>
      <c r="P14" s="5">
        <v>0</v>
      </c>
      <c r="Q14" s="10" t="s">
        <v>52</v>
      </c>
    </row>
    <row r="15" spans="1:17" ht="14.25" customHeight="1" x14ac:dyDescent="0.3">
      <c r="A15" s="2" t="s">
        <v>10</v>
      </c>
      <c r="B15" s="2" t="s">
        <v>53</v>
      </c>
      <c r="C15" s="2" t="s">
        <v>54</v>
      </c>
      <c r="D15" s="3">
        <v>1000</v>
      </c>
      <c r="E15" s="2"/>
      <c r="F15" s="4">
        <f t="shared" si="0"/>
        <v>1000</v>
      </c>
      <c r="G15" s="5">
        <f t="shared" si="1"/>
        <v>150</v>
      </c>
      <c r="H15" s="5">
        <f t="shared" si="2"/>
        <v>100</v>
      </c>
      <c r="I15" s="5">
        <f t="shared" si="3"/>
        <v>300</v>
      </c>
      <c r="J15" s="4">
        <f t="shared" si="4"/>
        <v>1550</v>
      </c>
      <c r="L15" s="10"/>
      <c r="N15" s="12"/>
      <c r="O15" s="5">
        <f>SUM(O6:O14)</f>
        <v>239040</v>
      </c>
      <c r="P15" s="5">
        <f>SUM(P6:P14)</f>
        <v>172592.5</v>
      </c>
    </row>
    <row r="16" spans="1:17" ht="14.25" customHeight="1" x14ac:dyDescent="0.3">
      <c r="A16" s="2" t="s">
        <v>10</v>
      </c>
      <c r="B16" s="2" t="s">
        <v>55</v>
      </c>
      <c r="C16" s="2" t="s">
        <v>56</v>
      </c>
      <c r="D16" s="3">
        <v>2500</v>
      </c>
      <c r="E16" s="3">
        <v>750</v>
      </c>
      <c r="F16" s="4">
        <f t="shared" si="0"/>
        <v>3250</v>
      </c>
      <c r="G16" s="5">
        <f t="shared" si="1"/>
        <v>487.5</v>
      </c>
      <c r="H16" s="5">
        <f t="shared" si="2"/>
        <v>325</v>
      </c>
      <c r="I16" s="5">
        <f t="shared" si="3"/>
        <v>975</v>
      </c>
      <c r="J16" s="4">
        <f t="shared" si="4"/>
        <v>5037.5</v>
      </c>
      <c r="L16" s="10"/>
      <c r="O16" s="5"/>
      <c r="P16" s="5"/>
    </row>
    <row r="17" spans="1:12" ht="14.25" customHeight="1" x14ac:dyDescent="0.3">
      <c r="A17" s="2" t="s">
        <v>10</v>
      </c>
      <c r="B17" s="2" t="s">
        <v>49</v>
      </c>
      <c r="C17" s="2" t="s">
        <v>57</v>
      </c>
      <c r="D17" s="3">
        <v>0</v>
      </c>
      <c r="E17" s="3">
        <v>0</v>
      </c>
      <c r="F17" s="4">
        <f t="shared" si="0"/>
        <v>0</v>
      </c>
      <c r="G17" s="5">
        <f t="shared" si="1"/>
        <v>0</v>
      </c>
      <c r="H17" s="5">
        <f t="shared" si="2"/>
        <v>0</v>
      </c>
      <c r="I17" s="5">
        <f t="shared" si="3"/>
        <v>0</v>
      </c>
      <c r="J17" s="4">
        <f t="shared" si="4"/>
        <v>0</v>
      </c>
      <c r="L17" s="7"/>
    </row>
    <row r="18" spans="1:12" ht="14.25" customHeight="1" x14ac:dyDescent="0.3">
      <c r="A18" s="2" t="s">
        <v>10</v>
      </c>
      <c r="B18" s="2" t="s">
        <v>58</v>
      </c>
      <c r="C18" s="2" t="s">
        <v>59</v>
      </c>
      <c r="D18" s="3">
        <v>1000</v>
      </c>
      <c r="E18" s="3">
        <v>1000</v>
      </c>
      <c r="F18" s="4">
        <f t="shared" si="0"/>
        <v>2000</v>
      </c>
      <c r="G18" s="5">
        <f t="shared" si="1"/>
        <v>300</v>
      </c>
      <c r="H18" s="5">
        <f t="shared" si="2"/>
        <v>200</v>
      </c>
      <c r="I18" s="5">
        <f t="shared" si="3"/>
        <v>600</v>
      </c>
      <c r="J18" s="4">
        <f t="shared" si="4"/>
        <v>3100</v>
      </c>
      <c r="L18" s="10"/>
    </row>
    <row r="19" spans="1:12" ht="14.25" customHeight="1" x14ac:dyDescent="0.3">
      <c r="A19" s="2" t="s">
        <v>10</v>
      </c>
      <c r="B19" s="2" t="s">
        <v>51</v>
      </c>
      <c r="C19" s="2" t="s">
        <v>60</v>
      </c>
      <c r="D19" s="3">
        <v>0</v>
      </c>
      <c r="E19" s="3">
        <v>0</v>
      </c>
      <c r="F19" s="4">
        <f t="shared" si="0"/>
        <v>0</v>
      </c>
      <c r="G19" s="5">
        <f t="shared" si="1"/>
        <v>0</v>
      </c>
      <c r="H19" s="5">
        <f t="shared" si="2"/>
        <v>0</v>
      </c>
      <c r="I19" s="5">
        <f t="shared" si="3"/>
        <v>0</v>
      </c>
      <c r="J19" s="4">
        <f t="shared" si="4"/>
        <v>0</v>
      </c>
    </row>
    <row r="20" spans="1:12" ht="14.25" customHeight="1" x14ac:dyDescent="0.3">
      <c r="A20" s="2" t="s">
        <v>10</v>
      </c>
      <c r="B20" s="2" t="s">
        <v>61</v>
      </c>
      <c r="C20" s="2"/>
      <c r="D20" s="2">
        <v>0</v>
      </c>
      <c r="E20" s="2">
        <v>0</v>
      </c>
      <c r="F20" s="4">
        <f t="shared" si="0"/>
        <v>0</v>
      </c>
      <c r="G20" s="5">
        <f t="shared" si="1"/>
        <v>0</v>
      </c>
      <c r="H20" s="5">
        <f t="shared" si="2"/>
        <v>0</v>
      </c>
      <c r="I20" s="5">
        <f t="shared" si="3"/>
        <v>0</v>
      </c>
      <c r="J20" s="4">
        <f t="shared" si="4"/>
        <v>0</v>
      </c>
      <c r="L20" s="10"/>
    </row>
    <row r="21" spans="1:12" ht="14.25" customHeight="1" x14ac:dyDescent="0.3">
      <c r="A21" s="2" t="s">
        <v>10</v>
      </c>
      <c r="B21" s="2" t="s">
        <v>62</v>
      </c>
      <c r="C21" s="2"/>
      <c r="D21" s="2">
        <v>0</v>
      </c>
      <c r="E21" s="3">
        <v>15000</v>
      </c>
      <c r="F21" s="4">
        <f t="shared" si="0"/>
        <v>15000</v>
      </c>
      <c r="G21" s="5">
        <f t="shared" si="1"/>
        <v>2250</v>
      </c>
      <c r="H21" s="5">
        <f t="shared" si="2"/>
        <v>1500</v>
      </c>
      <c r="I21" s="5">
        <f t="shared" si="3"/>
        <v>4500</v>
      </c>
      <c r="J21" s="4">
        <f t="shared" si="4"/>
        <v>23250</v>
      </c>
      <c r="L21" s="10"/>
    </row>
    <row r="22" spans="1:12" ht="14.25" customHeight="1" x14ac:dyDescent="0.3">
      <c r="A22" s="2" t="s">
        <v>63</v>
      </c>
      <c r="B22" s="2" t="s">
        <v>64</v>
      </c>
      <c r="C22" s="2" t="s">
        <v>65</v>
      </c>
      <c r="D22" s="3">
        <v>7000</v>
      </c>
      <c r="E22" s="2">
        <v>0</v>
      </c>
      <c r="F22" s="4">
        <f t="shared" si="0"/>
        <v>7000</v>
      </c>
      <c r="G22" s="5">
        <f t="shared" si="1"/>
        <v>1050</v>
      </c>
      <c r="H22" s="5">
        <f t="shared" si="2"/>
        <v>700</v>
      </c>
      <c r="I22" s="5">
        <f t="shared" si="3"/>
        <v>2100</v>
      </c>
      <c r="J22" s="4">
        <f t="shared" si="4"/>
        <v>10850</v>
      </c>
      <c r="L22" s="10"/>
    </row>
    <row r="23" spans="1:12" ht="14.25" customHeight="1" x14ac:dyDescent="0.3">
      <c r="A23" s="2" t="s">
        <v>63</v>
      </c>
      <c r="B23" s="2" t="s">
        <v>66</v>
      </c>
      <c r="C23" s="2" t="s">
        <v>65</v>
      </c>
      <c r="D23" s="3">
        <v>3000</v>
      </c>
      <c r="E23" s="2">
        <v>0</v>
      </c>
      <c r="F23" s="4">
        <f t="shared" si="0"/>
        <v>3000</v>
      </c>
      <c r="G23" s="5">
        <f t="shared" si="1"/>
        <v>450</v>
      </c>
      <c r="H23" s="5">
        <f t="shared" si="2"/>
        <v>300</v>
      </c>
      <c r="I23" s="5">
        <f t="shared" si="3"/>
        <v>900</v>
      </c>
      <c r="J23" s="4">
        <f t="shared" si="4"/>
        <v>4650</v>
      </c>
      <c r="L23" s="10"/>
    </row>
    <row r="24" spans="1:12" ht="14.25" customHeight="1" x14ac:dyDescent="0.3">
      <c r="A24" s="2" t="s">
        <v>67</v>
      </c>
      <c r="B24" s="2" t="s">
        <v>67</v>
      </c>
      <c r="C24" s="2" t="s">
        <v>68</v>
      </c>
      <c r="D24" s="3">
        <v>600</v>
      </c>
      <c r="E24" s="2">
        <v>3000</v>
      </c>
      <c r="F24" s="4">
        <f t="shared" si="0"/>
        <v>3600</v>
      </c>
      <c r="G24" s="5">
        <f t="shared" si="1"/>
        <v>540</v>
      </c>
      <c r="H24" s="5">
        <f t="shared" si="2"/>
        <v>360</v>
      </c>
      <c r="I24" s="5">
        <f t="shared" si="3"/>
        <v>1080</v>
      </c>
      <c r="J24" s="4">
        <f t="shared" si="4"/>
        <v>5580</v>
      </c>
      <c r="L24" s="10"/>
    </row>
    <row r="25" spans="1:12" ht="14.25" customHeight="1" x14ac:dyDescent="0.3">
      <c r="A25" s="2" t="s">
        <v>69</v>
      </c>
      <c r="B25" s="2" t="s">
        <v>70</v>
      </c>
      <c r="C25" s="2" t="s">
        <v>71</v>
      </c>
      <c r="D25" s="2">
        <v>0</v>
      </c>
      <c r="E25" s="3">
        <v>20000</v>
      </c>
      <c r="F25" s="4">
        <f t="shared" si="0"/>
        <v>20000</v>
      </c>
      <c r="G25" s="5">
        <f t="shared" si="1"/>
        <v>3000</v>
      </c>
      <c r="H25" s="5">
        <f t="shared" si="2"/>
        <v>2000</v>
      </c>
      <c r="I25" s="5">
        <f t="shared" si="3"/>
        <v>6000</v>
      </c>
      <c r="J25" s="4">
        <f t="shared" si="4"/>
        <v>31000</v>
      </c>
    </row>
    <row r="26" spans="1:12" ht="14.25" customHeight="1" x14ac:dyDescent="0.3">
      <c r="A26" s="2" t="s">
        <v>69</v>
      </c>
      <c r="B26" s="2" t="s">
        <v>72</v>
      </c>
      <c r="C26" s="2" t="s">
        <v>73</v>
      </c>
      <c r="D26" s="2">
        <v>1000</v>
      </c>
      <c r="E26" s="3">
        <v>10000</v>
      </c>
      <c r="F26" s="4">
        <f t="shared" si="0"/>
        <v>11000</v>
      </c>
      <c r="G26" s="5">
        <f t="shared" si="1"/>
        <v>1650</v>
      </c>
      <c r="H26" s="5">
        <f t="shared" si="2"/>
        <v>1100</v>
      </c>
      <c r="I26" s="5">
        <f t="shared" si="3"/>
        <v>3300</v>
      </c>
      <c r="J26" s="4">
        <f t="shared" si="4"/>
        <v>17050</v>
      </c>
      <c r="L26" s="10"/>
    </row>
    <row r="27" spans="1:12" ht="14.25" customHeight="1" x14ac:dyDescent="0.3">
      <c r="A27" s="13" t="s">
        <v>74</v>
      </c>
      <c r="B27" s="2"/>
      <c r="C27" s="2"/>
      <c r="D27" s="14">
        <f t="shared" ref="D27:J27" si="5">SUM(D2:D26)</f>
        <v>58500</v>
      </c>
      <c r="E27" s="14">
        <f t="shared" si="5"/>
        <v>69550</v>
      </c>
      <c r="F27" s="14">
        <f t="shared" si="5"/>
        <v>128050</v>
      </c>
      <c r="G27" s="14">
        <f t="shared" si="5"/>
        <v>19207.5</v>
      </c>
      <c r="H27" s="14">
        <f t="shared" si="5"/>
        <v>12805</v>
      </c>
      <c r="I27" s="14">
        <f t="shared" si="5"/>
        <v>38415</v>
      </c>
      <c r="J27" s="14">
        <f t="shared" si="5"/>
        <v>198477.5</v>
      </c>
    </row>
    <row r="28" spans="1:12" ht="14.25" customHeight="1" x14ac:dyDescent="0.3"/>
    <row r="29" spans="1:12" ht="14.25" customHeight="1" x14ac:dyDescent="0.3">
      <c r="J29" s="5">
        <f>+J28+J27</f>
        <v>198477.5</v>
      </c>
      <c r="L29" s="7"/>
    </row>
    <row r="30" spans="1:12" ht="14.25" customHeight="1" x14ac:dyDescent="0.3">
      <c r="I30" s="14"/>
      <c r="L30" s="10"/>
    </row>
    <row r="31" spans="1:12" ht="14.25" customHeight="1" x14ac:dyDescent="0.3">
      <c r="I31" s="14"/>
      <c r="L31" s="10"/>
    </row>
    <row r="32" spans="1:12" ht="14.25" customHeight="1" x14ac:dyDescent="0.3">
      <c r="L32" s="10"/>
    </row>
    <row r="33" spans="12:12" ht="14.25" customHeight="1" x14ac:dyDescent="0.3">
      <c r="L33" s="10"/>
    </row>
    <row r="34" spans="12:12" ht="14.25" customHeight="1" x14ac:dyDescent="0.3">
      <c r="L34" s="10"/>
    </row>
    <row r="35" spans="12:12" ht="14.25" customHeight="1" x14ac:dyDescent="0.3"/>
    <row r="36" spans="12:12" ht="14.25" customHeight="1" x14ac:dyDescent="0.3"/>
    <row r="37" spans="12:12" ht="14.25" customHeight="1" x14ac:dyDescent="0.3">
      <c r="L37" s="7"/>
    </row>
    <row r="38" spans="12:12" ht="14.25" customHeight="1" x14ac:dyDescent="0.3"/>
    <row r="39" spans="12:12" ht="14.25" customHeight="1" x14ac:dyDescent="0.3">
      <c r="L39" s="7"/>
    </row>
    <row r="40" spans="12:12" ht="14.25" customHeight="1" x14ac:dyDescent="0.3"/>
    <row r="41" spans="12:12" ht="14.25" customHeight="1" x14ac:dyDescent="0.3"/>
    <row r="42" spans="12:12" ht="14.25" customHeight="1" x14ac:dyDescent="0.3"/>
    <row r="43" spans="12:12" ht="14.25" customHeight="1" x14ac:dyDescent="0.3"/>
    <row r="44" spans="12:12" ht="14.25" customHeight="1" x14ac:dyDescent="0.3"/>
    <row r="45" spans="12:12" ht="14.25" customHeight="1" x14ac:dyDescent="0.3"/>
    <row r="46" spans="12:12" ht="14.25" customHeight="1" x14ac:dyDescent="0.3"/>
    <row r="47" spans="12:12" ht="14.25" customHeight="1" x14ac:dyDescent="0.3"/>
    <row r="48" spans="12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AB7A-D1D6-4349-BF92-CA0D4E548A7B}">
  <sheetPr>
    <tabColor theme="4" tint="0.79998168889431442"/>
  </sheetPr>
  <dimension ref="A1:F65"/>
  <sheetViews>
    <sheetView rightToLeft="1" zoomScaleNormal="100" workbookViewId="0">
      <pane ySplit="1" topLeftCell="A2" activePane="bottomLeft" state="frozen"/>
      <selection pane="bottomLeft" activeCell="B54" sqref="B54"/>
    </sheetView>
  </sheetViews>
  <sheetFormatPr defaultColWidth="14.44140625" defaultRowHeight="17.399999999999999" customHeight="1" x14ac:dyDescent="0.3"/>
  <cols>
    <col min="1" max="1" width="36.6640625" style="63" customWidth="1"/>
    <col min="2" max="2" width="55.6640625" style="63" customWidth="1"/>
    <col min="3" max="3" width="14.21875" style="63" customWidth="1"/>
    <col min="4" max="4" width="18.88671875" style="63" customWidth="1"/>
    <col min="5" max="5" width="19.5546875" style="63" customWidth="1"/>
    <col min="6" max="6" width="20.33203125" style="63" customWidth="1"/>
    <col min="7" max="10" width="51.88671875" style="63" customWidth="1"/>
    <col min="11" max="16384" width="14.44140625" style="63"/>
  </cols>
  <sheetData>
    <row r="1" spans="1:5" ht="17.399999999999999" customHeight="1" x14ac:dyDescent="0.3">
      <c r="A1" s="1" t="s">
        <v>1</v>
      </c>
      <c r="B1" s="1" t="s">
        <v>2</v>
      </c>
      <c r="C1" s="1" t="s">
        <v>97</v>
      </c>
      <c r="D1" s="1" t="s">
        <v>98</v>
      </c>
    </row>
    <row r="2" spans="1:5" ht="17.399999999999999" customHeight="1" x14ac:dyDescent="0.3">
      <c r="A2" s="52" t="s">
        <v>14</v>
      </c>
      <c r="B2" s="33" t="s">
        <v>15</v>
      </c>
      <c r="C2" s="33"/>
      <c r="D2" s="34"/>
    </row>
    <row r="3" spans="1:5" ht="17.399999999999999" customHeight="1" x14ac:dyDescent="0.3">
      <c r="A3" s="39" t="s">
        <v>108</v>
      </c>
      <c r="B3" s="39"/>
      <c r="C3" s="39"/>
      <c r="D3" s="40"/>
    </row>
    <row r="4" spans="1:5" ht="17.399999999999999" customHeight="1" x14ac:dyDescent="0.3">
      <c r="A4" s="39" t="s">
        <v>109</v>
      </c>
      <c r="B4" s="39"/>
      <c r="C4" s="39"/>
      <c r="D4" s="40"/>
    </row>
    <row r="5" spans="1:5" ht="17.399999999999999" customHeight="1" x14ac:dyDescent="0.3">
      <c r="A5" s="39"/>
      <c r="B5" s="39"/>
      <c r="C5" s="39"/>
      <c r="D5" s="40"/>
    </row>
    <row r="6" spans="1:5" ht="17.399999999999999" customHeight="1" x14ac:dyDescent="0.3">
      <c r="A6" s="39"/>
      <c r="B6" s="39"/>
      <c r="C6" s="39"/>
      <c r="D6" s="40"/>
    </row>
    <row r="7" spans="1:5" ht="17.399999999999999" customHeight="1" x14ac:dyDescent="0.3">
      <c r="A7" s="49"/>
      <c r="B7" s="49"/>
      <c r="C7" s="49"/>
      <c r="D7" s="61">
        <f>SUM(D2:D6)</f>
        <v>0</v>
      </c>
      <c r="E7" s="64">
        <v>1500</v>
      </c>
    </row>
    <row r="8" spans="1:5" ht="17.399999999999999" customHeight="1" x14ac:dyDescent="0.3">
      <c r="A8" s="52" t="s">
        <v>24</v>
      </c>
      <c r="B8" s="33"/>
      <c r="C8" s="33"/>
      <c r="D8" s="34"/>
    </row>
    <row r="9" spans="1:5" ht="17.399999999999999" customHeight="1" x14ac:dyDescent="0.3">
      <c r="A9" s="39" t="s">
        <v>111</v>
      </c>
      <c r="B9" s="39" t="s">
        <v>110</v>
      </c>
      <c r="C9" s="39"/>
      <c r="D9" s="54"/>
    </row>
    <row r="10" spans="1:5" ht="17.399999999999999" customHeight="1" x14ac:dyDescent="0.3">
      <c r="A10" s="39" t="s">
        <v>112</v>
      </c>
      <c r="B10" s="39"/>
      <c r="C10" s="39"/>
      <c r="D10" s="54"/>
    </row>
    <row r="11" spans="1:5" ht="17.399999999999999" customHeight="1" x14ac:dyDescent="0.3">
      <c r="A11" s="39" t="s">
        <v>113</v>
      </c>
      <c r="B11" s="39"/>
      <c r="C11" s="39"/>
      <c r="D11" s="54"/>
    </row>
    <row r="12" spans="1:5" ht="17.399999999999999" customHeight="1" x14ac:dyDescent="0.3">
      <c r="A12" s="39" t="s">
        <v>114</v>
      </c>
      <c r="B12" s="39"/>
      <c r="C12" s="39"/>
      <c r="D12" s="54"/>
    </row>
    <row r="13" spans="1:5" ht="17.399999999999999" customHeight="1" x14ac:dyDescent="0.3">
      <c r="A13" s="39"/>
      <c r="B13" s="39"/>
      <c r="C13" s="39"/>
      <c r="D13" s="54"/>
    </row>
    <row r="14" spans="1:5" ht="17.399999999999999" customHeight="1" x14ac:dyDescent="0.3">
      <c r="A14" s="39"/>
      <c r="B14" s="39"/>
      <c r="C14" s="39"/>
      <c r="D14" s="54"/>
    </row>
    <row r="15" spans="1:5" ht="17.399999999999999" customHeight="1" x14ac:dyDescent="0.3">
      <c r="A15" s="39"/>
      <c r="B15" s="39"/>
      <c r="C15" s="39"/>
      <c r="D15" s="54"/>
    </row>
    <row r="16" spans="1:5" ht="17.399999999999999" customHeight="1" x14ac:dyDescent="0.3">
      <c r="A16" s="49"/>
      <c r="B16" s="49"/>
      <c r="C16" s="49"/>
      <c r="D16" s="61">
        <f>SUM(D8:D15)</f>
        <v>0</v>
      </c>
      <c r="E16" s="64">
        <v>4000</v>
      </c>
    </row>
    <row r="17" spans="1:5" ht="17.399999999999999" customHeight="1" x14ac:dyDescent="0.3">
      <c r="A17" s="52" t="s">
        <v>21</v>
      </c>
      <c r="B17" s="33"/>
      <c r="C17" s="33"/>
      <c r="D17" s="34"/>
    </row>
    <row r="18" spans="1:5" ht="17.399999999999999" customHeight="1" x14ac:dyDescent="0.3">
      <c r="A18" s="39" t="s">
        <v>104</v>
      </c>
      <c r="B18" s="39"/>
      <c r="C18" s="39"/>
      <c r="D18" s="40"/>
    </row>
    <row r="19" spans="1:5" ht="17.399999999999999" customHeight="1" x14ac:dyDescent="0.3">
      <c r="A19" s="39" t="s">
        <v>105</v>
      </c>
      <c r="B19" s="39"/>
      <c r="C19" s="39"/>
      <c r="D19" s="40"/>
    </row>
    <row r="20" spans="1:5" ht="17.399999999999999" customHeight="1" x14ac:dyDescent="0.3">
      <c r="A20" s="39" t="s">
        <v>106</v>
      </c>
      <c r="B20" s="39"/>
      <c r="C20" s="39"/>
      <c r="D20" s="40"/>
    </row>
    <row r="21" spans="1:5" ht="17.399999999999999" customHeight="1" x14ac:dyDescent="0.3">
      <c r="A21" s="39" t="s">
        <v>107</v>
      </c>
      <c r="B21" s="39"/>
      <c r="C21" s="39"/>
      <c r="D21" s="40"/>
    </row>
    <row r="22" spans="1:5" ht="17.399999999999999" customHeight="1" x14ac:dyDescent="0.3">
      <c r="A22" s="39" t="s">
        <v>123</v>
      </c>
      <c r="B22" s="39" t="s">
        <v>124</v>
      </c>
      <c r="C22" s="39"/>
      <c r="D22" s="40"/>
    </row>
    <row r="23" spans="1:5" ht="17.399999999999999" customHeight="1" x14ac:dyDescent="0.3">
      <c r="A23" s="39"/>
      <c r="B23" s="39"/>
      <c r="C23" s="39"/>
      <c r="D23" s="40"/>
    </row>
    <row r="24" spans="1:5" ht="17.399999999999999" customHeight="1" x14ac:dyDescent="0.3">
      <c r="A24" s="39"/>
      <c r="B24" s="39"/>
      <c r="C24" s="39"/>
      <c r="D24" s="40"/>
    </row>
    <row r="25" spans="1:5" ht="17.399999999999999" customHeight="1" x14ac:dyDescent="0.3">
      <c r="A25" s="49"/>
      <c r="B25" s="49"/>
      <c r="C25" s="49"/>
      <c r="D25" s="61">
        <f>SUM(D17:D24)</f>
        <v>0</v>
      </c>
      <c r="E25" s="65">
        <v>2000</v>
      </c>
    </row>
    <row r="26" spans="1:5" ht="17.399999999999999" customHeight="1" x14ac:dyDescent="0.3">
      <c r="A26" s="62" t="s">
        <v>31</v>
      </c>
      <c r="B26" s="55"/>
      <c r="C26" s="55"/>
      <c r="D26" s="56"/>
    </row>
    <row r="27" spans="1:5" ht="17.399999999999999" customHeight="1" x14ac:dyDescent="0.3">
      <c r="A27" s="57" t="s">
        <v>129</v>
      </c>
      <c r="B27" s="57"/>
      <c r="C27" s="57"/>
      <c r="D27" s="58"/>
    </row>
    <row r="28" spans="1:5" ht="17.399999999999999" customHeight="1" x14ac:dyDescent="0.3">
      <c r="A28" s="57" t="s">
        <v>99</v>
      </c>
      <c r="B28" s="57"/>
      <c r="C28" s="57"/>
      <c r="D28" s="58"/>
    </row>
    <row r="29" spans="1:5" ht="17.399999999999999" customHeight="1" x14ac:dyDescent="0.3">
      <c r="A29" s="57" t="s">
        <v>103</v>
      </c>
      <c r="B29" s="57"/>
      <c r="C29" s="57"/>
      <c r="D29" s="58"/>
    </row>
    <row r="30" spans="1:5" ht="17.399999999999999" customHeight="1" x14ac:dyDescent="0.3">
      <c r="A30" s="57" t="s">
        <v>100</v>
      </c>
      <c r="B30" s="57"/>
      <c r="C30" s="57"/>
      <c r="D30" s="58"/>
    </row>
    <row r="31" spans="1:5" ht="17.399999999999999" customHeight="1" x14ac:dyDescent="0.3">
      <c r="A31" s="63" t="s">
        <v>101</v>
      </c>
      <c r="B31" s="57"/>
      <c r="C31" s="57"/>
      <c r="D31" s="58"/>
    </row>
    <row r="32" spans="1:5" ht="17.399999999999999" customHeight="1" x14ac:dyDescent="0.3">
      <c r="A32" s="63" t="s">
        <v>102</v>
      </c>
      <c r="B32" s="57"/>
      <c r="C32" s="57"/>
      <c r="D32" s="58"/>
    </row>
    <row r="33" spans="1:6" ht="17.399999999999999" customHeight="1" x14ac:dyDescent="0.3">
      <c r="B33" s="57"/>
      <c r="C33" s="57"/>
      <c r="D33" s="58"/>
    </row>
    <row r="34" spans="1:6" ht="17.399999999999999" customHeight="1" x14ac:dyDescent="0.3">
      <c r="B34" s="59"/>
      <c r="C34" s="59"/>
      <c r="D34" s="61">
        <f>SUM(D26:D33)</f>
        <v>0</v>
      </c>
      <c r="E34" s="65">
        <v>8000</v>
      </c>
    </row>
    <row r="35" spans="1:6" ht="17.399999999999999" customHeight="1" x14ac:dyDescent="0.3">
      <c r="A35" s="52" t="s">
        <v>35</v>
      </c>
      <c r="B35" s="33"/>
      <c r="C35" s="33"/>
      <c r="D35" s="34"/>
    </row>
    <row r="36" spans="1:6" ht="17.399999999999999" customHeight="1" x14ac:dyDescent="0.3">
      <c r="A36" s="39" t="s">
        <v>121</v>
      </c>
      <c r="B36" s="39"/>
      <c r="C36" s="39"/>
      <c r="D36" s="40"/>
    </row>
    <row r="37" spans="1:6" ht="17.399999999999999" customHeight="1" x14ac:dyDescent="0.3">
      <c r="A37" s="39" t="s">
        <v>115</v>
      </c>
      <c r="B37" s="39" t="s">
        <v>131</v>
      </c>
      <c r="C37" s="39"/>
      <c r="D37" s="40"/>
    </row>
    <row r="38" spans="1:6" ht="17.399999999999999" customHeight="1" x14ac:dyDescent="0.3">
      <c r="A38" s="63" t="s">
        <v>122</v>
      </c>
      <c r="B38" s="39"/>
      <c r="C38" s="39"/>
      <c r="D38" s="40"/>
    </row>
    <row r="39" spans="1:6" ht="17.399999999999999" customHeight="1" x14ac:dyDescent="0.3">
      <c r="A39" s="39" t="s">
        <v>130</v>
      </c>
      <c r="B39" s="39"/>
      <c r="C39" s="39"/>
      <c r="D39" s="40"/>
    </row>
    <row r="40" spans="1:6" ht="17.399999999999999" customHeight="1" x14ac:dyDescent="0.3">
      <c r="A40" s="39"/>
      <c r="B40" s="39"/>
      <c r="C40" s="39"/>
      <c r="D40" s="40"/>
    </row>
    <row r="41" spans="1:6" ht="17.399999999999999" customHeight="1" x14ac:dyDescent="0.3">
      <c r="A41" s="49"/>
      <c r="B41" s="49"/>
      <c r="C41" s="49"/>
      <c r="D41" s="61">
        <f>SUM(D35:D40)</f>
        <v>0</v>
      </c>
      <c r="E41" s="65">
        <v>1500</v>
      </c>
    </row>
    <row r="42" spans="1:6" ht="17.399999999999999" customHeight="1" x14ac:dyDescent="0.3">
      <c r="A42" s="52" t="s">
        <v>55</v>
      </c>
      <c r="B42" s="33"/>
      <c r="C42" s="33"/>
      <c r="D42" s="34"/>
      <c r="F42" s="66"/>
    </row>
    <row r="43" spans="1:6" ht="17.399999999999999" customHeight="1" x14ac:dyDescent="0.3">
      <c r="A43" s="63" t="s">
        <v>126</v>
      </c>
      <c r="B43" s="39" t="s">
        <v>125</v>
      </c>
      <c r="C43" s="39"/>
      <c r="D43" s="40"/>
    </row>
    <row r="44" spans="1:6" ht="17.399999999999999" customHeight="1" x14ac:dyDescent="0.3">
      <c r="A44" s="39" t="s">
        <v>127</v>
      </c>
      <c r="B44" s="39" t="s">
        <v>128</v>
      </c>
      <c r="C44" s="39"/>
      <c r="D44" s="40"/>
    </row>
    <row r="45" spans="1:6" ht="17.399999999999999" customHeight="1" x14ac:dyDescent="0.3">
      <c r="A45" s="49"/>
      <c r="B45" s="49"/>
      <c r="C45" s="49"/>
      <c r="D45" s="61">
        <f>SUM(D42:D44)</f>
        <v>0</v>
      </c>
      <c r="E45" s="65">
        <v>750</v>
      </c>
    </row>
    <row r="46" spans="1:6" ht="17.399999999999999" customHeight="1" x14ac:dyDescent="0.3">
      <c r="A46" s="52" t="s">
        <v>119</v>
      </c>
      <c r="B46" s="33" t="s">
        <v>120</v>
      </c>
      <c r="C46" s="33"/>
      <c r="D46" s="34"/>
      <c r="F46" s="66"/>
    </row>
    <row r="47" spans="1:6" ht="17.399999999999999" customHeight="1" x14ac:dyDescent="0.3">
      <c r="A47" s="39" t="s">
        <v>116</v>
      </c>
      <c r="B47" s="39"/>
      <c r="C47" s="39">
        <v>5</v>
      </c>
      <c r="D47" s="40"/>
    </row>
    <row r="48" spans="1:6" ht="17.399999999999999" customHeight="1" x14ac:dyDescent="0.3">
      <c r="A48" s="67" t="s">
        <v>117</v>
      </c>
      <c r="B48" s="67"/>
      <c r="C48" s="67">
        <v>5</v>
      </c>
      <c r="D48" s="68"/>
    </row>
    <row r="49" spans="1:6" ht="17.399999999999999" customHeight="1" x14ac:dyDescent="0.3">
      <c r="A49" s="67" t="s">
        <v>118</v>
      </c>
      <c r="B49" s="67"/>
      <c r="C49" s="67">
        <v>5</v>
      </c>
      <c r="D49" s="68"/>
    </row>
    <row r="50" spans="1:6" ht="17.399999999999999" customHeight="1" x14ac:dyDescent="0.3">
      <c r="A50" s="67"/>
      <c r="B50" s="67"/>
      <c r="C50" s="67"/>
      <c r="D50" s="68"/>
    </row>
    <row r="51" spans="1:6" ht="17.399999999999999" customHeight="1" x14ac:dyDescent="0.3">
      <c r="A51" s="67"/>
      <c r="B51" s="67"/>
      <c r="C51" s="67"/>
      <c r="D51" s="68"/>
    </row>
    <row r="52" spans="1:6" ht="17.399999999999999" customHeight="1" x14ac:dyDescent="0.3">
      <c r="A52" s="69"/>
      <c r="B52" s="69"/>
      <c r="C52" s="69"/>
      <c r="D52" s="70">
        <f>SUM(D46:D51)</f>
        <v>0</v>
      </c>
      <c r="E52" s="65">
        <v>1000</v>
      </c>
    </row>
    <row r="53" spans="1:6" ht="17.399999999999999" customHeight="1" x14ac:dyDescent="0.3">
      <c r="A53" s="2"/>
      <c r="B53" s="2"/>
      <c r="C53" s="2"/>
      <c r="D53" s="60">
        <f>SUM(D2:D51)</f>
        <v>0</v>
      </c>
      <c r="E53" s="65">
        <f>SUM(E1:E52)</f>
        <v>18750</v>
      </c>
    </row>
    <row r="55" spans="1:6" ht="17.399999999999999" customHeight="1" x14ac:dyDescent="0.3">
      <c r="F55" s="71"/>
    </row>
    <row r="56" spans="1:6" ht="17.399999999999999" customHeight="1" x14ac:dyDescent="0.3">
      <c r="F56" s="66"/>
    </row>
    <row r="57" spans="1:6" ht="17.399999999999999" customHeight="1" x14ac:dyDescent="0.3">
      <c r="F57" s="66"/>
    </row>
    <row r="58" spans="1:6" ht="17.399999999999999" customHeight="1" x14ac:dyDescent="0.3">
      <c r="F58" s="66"/>
    </row>
    <row r="59" spans="1:6" ht="17.399999999999999" customHeight="1" x14ac:dyDescent="0.3">
      <c r="F59" s="66"/>
    </row>
    <row r="60" spans="1:6" ht="17.399999999999999" customHeight="1" x14ac:dyDescent="0.3">
      <c r="F60" s="66"/>
    </row>
    <row r="63" spans="1:6" ht="17.399999999999999" customHeight="1" x14ac:dyDescent="0.3">
      <c r="F63" s="71"/>
    </row>
    <row r="65" spans="6:6" ht="17.399999999999999" customHeight="1" x14ac:dyDescent="0.3">
      <c r="F65" s="7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F8C6-78E4-4973-B30A-15BA8A338EDB}">
  <sheetPr>
    <tabColor theme="9" tint="0.39997558519241921"/>
  </sheetPr>
  <dimension ref="A1:F82"/>
  <sheetViews>
    <sheetView rightToLeft="1" workbookViewId="0">
      <pane ySplit="1" topLeftCell="A2" activePane="bottomLeft" state="frozen"/>
      <selection pane="bottomLeft" activeCell="A25" sqref="A25"/>
    </sheetView>
  </sheetViews>
  <sheetFormatPr defaultColWidth="14.44140625" defaultRowHeight="21" customHeight="1" x14ac:dyDescent="0.3"/>
  <cols>
    <col min="1" max="1" width="36.6640625" customWidth="1"/>
    <col min="2" max="2" width="40.33203125" customWidth="1"/>
    <col min="3" max="3" width="21.21875" customWidth="1"/>
    <col min="4" max="4" width="11.77734375" customWidth="1"/>
    <col min="5" max="5" width="19.5546875" customWidth="1"/>
    <col min="6" max="6" width="20.33203125" customWidth="1"/>
    <col min="7" max="11" width="51.88671875" customWidth="1"/>
  </cols>
  <sheetData>
    <row r="1" spans="1:6" ht="31.2" customHeight="1" x14ac:dyDescent="0.3">
      <c r="A1" s="50" t="s">
        <v>1</v>
      </c>
      <c r="B1" s="50" t="s">
        <v>2</v>
      </c>
      <c r="C1" s="50" t="s">
        <v>96</v>
      </c>
      <c r="D1" s="50" t="s">
        <v>3</v>
      </c>
      <c r="F1" s="30">
        <v>3.22</v>
      </c>
    </row>
    <row r="2" spans="1:6" ht="21" customHeight="1" x14ac:dyDescent="0.3">
      <c r="A2" s="19" t="s">
        <v>11</v>
      </c>
      <c r="B2" s="20"/>
      <c r="C2" s="19"/>
      <c r="D2" s="20"/>
      <c r="F2" s="30" t="s">
        <v>89</v>
      </c>
    </row>
    <row r="3" spans="1:6" ht="21" customHeight="1" x14ac:dyDescent="0.3">
      <c r="A3" s="20" t="s">
        <v>132</v>
      </c>
      <c r="B3" s="20" t="s">
        <v>133</v>
      </c>
      <c r="C3" s="20"/>
      <c r="D3" s="20"/>
      <c r="F3" s="30"/>
    </row>
    <row r="4" spans="1:6" ht="21" customHeight="1" x14ac:dyDescent="0.3">
      <c r="A4" s="20" t="s">
        <v>134</v>
      </c>
      <c r="B4" s="20" t="s">
        <v>135</v>
      </c>
      <c r="C4" s="20" t="s">
        <v>162</v>
      </c>
      <c r="D4" s="20">
        <v>150</v>
      </c>
      <c r="E4" s="17" t="s">
        <v>92</v>
      </c>
      <c r="F4" s="30"/>
    </row>
    <row r="5" spans="1:6" ht="21" customHeight="1" x14ac:dyDescent="0.3">
      <c r="A5" s="22" t="s">
        <v>136</v>
      </c>
      <c r="B5" s="22" t="s">
        <v>137</v>
      </c>
      <c r="C5" s="22"/>
      <c r="D5" s="15">
        <f>SUM(D2:D4)</f>
        <v>150</v>
      </c>
      <c r="E5" s="17">
        <v>4300</v>
      </c>
      <c r="F5" s="30"/>
    </row>
    <row r="6" spans="1:6" ht="21" customHeight="1" x14ac:dyDescent="0.3">
      <c r="A6" s="32" t="s">
        <v>12</v>
      </c>
      <c r="B6" s="33"/>
      <c r="C6" s="52"/>
      <c r="D6" s="34"/>
      <c r="F6" s="5"/>
    </row>
    <row r="7" spans="1:6" ht="21" customHeight="1" x14ac:dyDescent="0.3">
      <c r="A7" s="38" t="s">
        <v>138</v>
      </c>
      <c r="B7" s="39"/>
      <c r="C7" s="39"/>
      <c r="D7" s="40"/>
      <c r="F7" s="5"/>
    </row>
    <row r="8" spans="1:6" ht="21" customHeight="1" x14ac:dyDescent="0.3">
      <c r="A8" s="38" t="s">
        <v>139</v>
      </c>
      <c r="B8" s="39"/>
      <c r="C8" s="39"/>
      <c r="D8" s="40"/>
      <c r="F8" s="5"/>
    </row>
    <row r="9" spans="1:6" ht="21" customHeight="1" x14ac:dyDescent="0.3">
      <c r="A9" s="38" t="s">
        <v>140</v>
      </c>
      <c r="B9" s="39"/>
      <c r="C9" s="39"/>
      <c r="D9" s="40"/>
      <c r="F9" s="5"/>
    </row>
    <row r="10" spans="1:6" ht="21" customHeight="1" x14ac:dyDescent="0.3">
      <c r="A10" s="48" t="s">
        <v>141</v>
      </c>
      <c r="B10" s="39"/>
      <c r="C10" s="39"/>
      <c r="D10" s="40"/>
      <c r="F10" s="5"/>
    </row>
    <row r="11" spans="1:6" ht="21" customHeight="1" x14ac:dyDescent="0.3">
      <c r="B11" s="39"/>
      <c r="C11" s="39"/>
      <c r="D11" s="40"/>
      <c r="E11" s="17" t="s">
        <v>12</v>
      </c>
      <c r="F11" s="5"/>
    </row>
    <row r="12" spans="1:6" ht="21" customHeight="1" x14ac:dyDescent="0.3">
      <c r="B12" s="49"/>
      <c r="C12" s="49"/>
      <c r="D12" s="16">
        <f>SUM(D6:D11)</f>
        <v>0</v>
      </c>
      <c r="E12" s="17">
        <v>3900</v>
      </c>
      <c r="F12" s="5"/>
    </row>
    <row r="13" spans="1:6" ht="21" customHeight="1" x14ac:dyDescent="0.3">
      <c r="A13" s="45" t="s">
        <v>14</v>
      </c>
      <c r="B13" s="43" t="s">
        <v>15</v>
      </c>
      <c r="C13" s="45"/>
      <c r="D13" s="43"/>
    </row>
    <row r="14" spans="1:6" ht="21" customHeight="1" x14ac:dyDescent="0.3">
      <c r="A14" s="43" t="s">
        <v>145</v>
      </c>
      <c r="B14" s="43"/>
      <c r="C14" s="45"/>
      <c r="D14" s="43"/>
    </row>
    <row r="15" spans="1:6" ht="21" customHeight="1" x14ac:dyDescent="0.3">
      <c r="A15" s="20" t="s">
        <v>144</v>
      </c>
      <c r="B15" s="20"/>
      <c r="C15" s="20"/>
      <c r="D15" s="20"/>
    </row>
    <row r="16" spans="1:6" ht="21" customHeight="1" x14ac:dyDescent="0.3">
      <c r="A16" s="74" t="s">
        <v>142</v>
      </c>
      <c r="B16" s="20"/>
      <c r="C16" s="20"/>
      <c r="D16" s="20"/>
    </row>
    <row r="17" spans="1:5" ht="21" customHeight="1" x14ac:dyDescent="0.3">
      <c r="A17" s="20" t="s">
        <v>143</v>
      </c>
      <c r="B17" s="20"/>
      <c r="C17" s="20"/>
      <c r="D17" s="20"/>
      <c r="E17" s="17" t="s">
        <v>93</v>
      </c>
    </row>
    <row r="18" spans="1:5" ht="21" customHeight="1" x14ac:dyDescent="0.3">
      <c r="A18" s="22"/>
      <c r="B18" s="22"/>
      <c r="C18" s="22"/>
      <c r="D18" s="16">
        <f>SUM(D13:D17)</f>
        <v>0</v>
      </c>
      <c r="E18" s="17">
        <v>16700</v>
      </c>
    </row>
    <row r="19" spans="1:5" ht="21" customHeight="1" x14ac:dyDescent="0.3">
      <c r="A19" s="32" t="s">
        <v>21</v>
      </c>
      <c r="B19" s="33"/>
      <c r="C19" s="52"/>
      <c r="D19" s="34"/>
    </row>
    <row r="20" spans="1:5" ht="21" customHeight="1" x14ac:dyDescent="0.3">
      <c r="A20" s="38" t="s">
        <v>154</v>
      </c>
      <c r="B20" s="39" t="s">
        <v>157</v>
      </c>
      <c r="C20" s="72">
        <v>100</v>
      </c>
      <c r="D20" s="40"/>
    </row>
    <row r="21" spans="1:5" ht="21" customHeight="1" x14ac:dyDescent="0.3">
      <c r="A21" s="75"/>
      <c r="B21" s="39" t="s">
        <v>158</v>
      </c>
      <c r="C21" s="72">
        <v>60</v>
      </c>
      <c r="D21" s="40"/>
    </row>
    <row r="22" spans="1:5" ht="21" customHeight="1" x14ac:dyDescent="0.3">
      <c r="A22" s="75"/>
      <c r="B22" s="39" t="s">
        <v>160</v>
      </c>
      <c r="C22" s="72">
        <v>100</v>
      </c>
      <c r="D22" s="40"/>
    </row>
    <row r="23" spans="1:5" ht="21" customHeight="1" x14ac:dyDescent="0.3">
      <c r="A23" s="72"/>
      <c r="B23" s="39" t="s">
        <v>159</v>
      </c>
      <c r="C23" s="39">
        <v>60</v>
      </c>
      <c r="D23" s="40"/>
    </row>
    <row r="24" spans="1:5" ht="21" customHeight="1" x14ac:dyDescent="0.3">
      <c r="B24" s="57" t="s">
        <v>163</v>
      </c>
      <c r="D24" s="40">
        <v>950</v>
      </c>
    </row>
    <row r="25" spans="1:5" ht="21" customHeight="1" x14ac:dyDescent="0.3">
      <c r="A25" s="38" t="s">
        <v>161</v>
      </c>
      <c r="B25" s="39"/>
      <c r="C25" s="39"/>
      <c r="D25" s="40"/>
      <c r="E25" s="17" t="s">
        <v>94</v>
      </c>
    </row>
    <row r="26" spans="1:5" ht="21" customHeight="1" x14ac:dyDescent="0.3">
      <c r="A26" s="48"/>
      <c r="B26" s="49"/>
      <c r="C26" s="49"/>
      <c r="D26" s="16">
        <f>SUM(D19:D25)</f>
        <v>950</v>
      </c>
      <c r="E26" s="17">
        <v>3000</v>
      </c>
    </row>
    <row r="27" spans="1:5" ht="21" customHeight="1" x14ac:dyDescent="0.3">
      <c r="A27" s="45" t="s">
        <v>24</v>
      </c>
      <c r="B27" s="43"/>
      <c r="C27" s="45"/>
      <c r="D27" s="43"/>
    </row>
    <row r="28" spans="1:5" ht="21" customHeight="1" x14ac:dyDescent="0.3">
      <c r="A28" s="20" t="s">
        <v>81</v>
      </c>
      <c r="B28" s="20"/>
      <c r="C28" s="20"/>
      <c r="D28" s="20"/>
    </row>
    <row r="29" spans="1:5" ht="21" customHeight="1" x14ac:dyDescent="0.3">
      <c r="A29" s="74" t="s">
        <v>82</v>
      </c>
      <c r="B29" s="20"/>
      <c r="C29" s="20"/>
      <c r="D29" s="20"/>
    </row>
    <row r="30" spans="1:5" ht="21" customHeight="1" x14ac:dyDescent="0.3">
      <c r="A30" s="20" t="s">
        <v>155</v>
      </c>
      <c r="B30" s="20"/>
      <c r="C30" s="20"/>
      <c r="D30" s="20"/>
    </row>
    <row r="31" spans="1:5" ht="21" customHeight="1" x14ac:dyDescent="0.3">
      <c r="A31" s="20" t="s">
        <v>83</v>
      </c>
      <c r="B31" s="20" t="s">
        <v>84</v>
      </c>
      <c r="C31" s="20"/>
      <c r="D31" s="20"/>
      <c r="E31" s="17" t="s">
        <v>86</v>
      </c>
    </row>
    <row r="32" spans="1:5" ht="21" customHeight="1" x14ac:dyDescent="0.3">
      <c r="A32" s="22" t="s">
        <v>85</v>
      </c>
      <c r="B32" s="22" t="s">
        <v>87</v>
      </c>
      <c r="C32" s="22"/>
      <c r="D32" s="15">
        <f>SUM(D27:D31)</f>
        <v>0</v>
      </c>
      <c r="E32" s="17">
        <v>2700</v>
      </c>
    </row>
    <row r="33" spans="1:5" ht="21" customHeight="1" x14ac:dyDescent="0.3">
      <c r="A33" s="32" t="s">
        <v>16</v>
      </c>
      <c r="B33" s="33"/>
      <c r="C33" s="52"/>
      <c r="D33" s="47">
        <v>0</v>
      </c>
    </row>
    <row r="34" spans="1:5" ht="21" customHeight="1" x14ac:dyDescent="0.3">
      <c r="A34" s="48"/>
      <c r="B34" s="49"/>
      <c r="C34" s="49"/>
      <c r="D34" s="16">
        <f>SUM(D33)</f>
        <v>0</v>
      </c>
      <c r="E34" s="17">
        <v>0</v>
      </c>
    </row>
    <row r="35" spans="1:5" ht="21" customHeight="1" x14ac:dyDescent="0.3">
      <c r="A35" s="45" t="s">
        <v>75</v>
      </c>
      <c r="B35" s="43"/>
      <c r="C35" s="45"/>
      <c r="D35" s="46"/>
    </row>
    <row r="36" spans="1:5" ht="21" customHeight="1" x14ac:dyDescent="0.3">
      <c r="A36" s="74" t="s">
        <v>77</v>
      </c>
      <c r="B36" s="20" t="s">
        <v>88</v>
      </c>
      <c r="C36" s="20"/>
      <c r="D36" s="21">
        <f>20*2*F1</f>
        <v>128.80000000000001</v>
      </c>
    </row>
    <row r="37" spans="1:5" ht="21" customHeight="1" x14ac:dyDescent="0.3">
      <c r="A37" s="20" t="s">
        <v>146</v>
      </c>
      <c r="B37" s="20"/>
      <c r="C37" s="20"/>
      <c r="D37" s="21"/>
    </row>
    <row r="38" spans="1:5" ht="21" customHeight="1" x14ac:dyDescent="0.3">
      <c r="A38" s="20" t="s">
        <v>148</v>
      </c>
      <c r="B38" s="20"/>
      <c r="C38" s="20"/>
      <c r="D38" s="21"/>
    </row>
    <row r="39" spans="1:5" ht="21" customHeight="1" x14ac:dyDescent="0.3">
      <c r="A39" s="20" t="s">
        <v>149</v>
      </c>
      <c r="B39" s="20"/>
      <c r="C39" s="20"/>
      <c r="D39" s="21"/>
    </row>
    <row r="40" spans="1:5" ht="21" customHeight="1" x14ac:dyDescent="0.3">
      <c r="A40" s="20" t="s">
        <v>147</v>
      </c>
      <c r="B40" s="20"/>
      <c r="C40" s="20"/>
      <c r="D40" s="21"/>
      <c r="E40" s="17" t="s">
        <v>79</v>
      </c>
    </row>
    <row r="41" spans="1:5" ht="21" customHeight="1" x14ac:dyDescent="0.3">
      <c r="A41" s="22"/>
      <c r="B41" s="22" t="s">
        <v>76</v>
      </c>
      <c r="C41" s="22"/>
      <c r="D41" s="16">
        <f>SUM(D35:D40)</f>
        <v>128.80000000000001</v>
      </c>
      <c r="E41" s="17">
        <v>2400</v>
      </c>
    </row>
    <row r="42" spans="1:5" ht="21" customHeight="1" x14ac:dyDescent="0.3">
      <c r="A42" s="31" t="s">
        <v>35</v>
      </c>
      <c r="B42" s="23"/>
      <c r="C42" s="53"/>
      <c r="D42" s="24"/>
    </row>
    <row r="43" spans="1:5" ht="21" customHeight="1" x14ac:dyDescent="0.3">
      <c r="A43" s="73" t="s">
        <v>150</v>
      </c>
      <c r="B43" s="26" t="s">
        <v>95</v>
      </c>
      <c r="C43" s="26"/>
      <c r="D43" s="27">
        <v>135</v>
      </c>
    </row>
    <row r="44" spans="1:5" ht="21" customHeight="1" x14ac:dyDescent="0.3">
      <c r="A44" s="73" t="s">
        <v>151</v>
      </c>
      <c r="B44" s="26"/>
      <c r="C44" s="26"/>
      <c r="D44" s="27"/>
    </row>
    <row r="45" spans="1:5" ht="21" customHeight="1" x14ac:dyDescent="0.3">
      <c r="A45" s="25"/>
      <c r="B45" s="26"/>
      <c r="C45" s="26"/>
      <c r="D45" s="27"/>
    </row>
    <row r="46" spans="1:5" ht="21" customHeight="1" x14ac:dyDescent="0.3">
      <c r="A46" s="25"/>
      <c r="B46" s="26"/>
      <c r="C46" s="26"/>
      <c r="D46" s="27"/>
      <c r="E46" s="17" t="s">
        <v>78</v>
      </c>
    </row>
    <row r="47" spans="1:5" ht="21" customHeight="1" x14ac:dyDescent="0.3">
      <c r="A47" s="28"/>
      <c r="B47" s="29"/>
      <c r="C47" s="29"/>
      <c r="D47" s="51">
        <f>SUM(D42:D46)</f>
        <v>135</v>
      </c>
      <c r="E47" s="18">
        <v>3500</v>
      </c>
    </row>
    <row r="48" spans="1:5" ht="21" customHeight="1" x14ac:dyDescent="0.3">
      <c r="A48" s="20"/>
      <c r="B48" s="20"/>
      <c r="C48" s="20"/>
      <c r="D48" s="20"/>
    </row>
    <row r="49" spans="1:6" ht="21" customHeight="1" x14ac:dyDescent="0.3">
      <c r="A49" s="19" t="s">
        <v>55</v>
      </c>
      <c r="B49" s="20" t="s">
        <v>152</v>
      </c>
      <c r="C49" s="19"/>
      <c r="D49" s="20"/>
      <c r="F49" s="10"/>
    </row>
    <row r="50" spans="1:6" ht="21" customHeight="1" x14ac:dyDescent="0.3">
      <c r="A50" s="74" t="s">
        <v>127</v>
      </c>
      <c r="B50" s="20" t="s">
        <v>165</v>
      </c>
      <c r="C50" s="20" t="s">
        <v>164</v>
      </c>
      <c r="D50" s="20"/>
      <c r="F50" s="10"/>
    </row>
    <row r="51" spans="1:6" ht="21" customHeight="1" x14ac:dyDescent="0.3">
      <c r="A51" s="73" t="s">
        <v>153</v>
      </c>
      <c r="B51" s="20"/>
      <c r="C51" s="20"/>
      <c r="D51" s="20"/>
      <c r="F51" s="10"/>
    </row>
    <row r="52" spans="1:6" ht="21" customHeight="1" x14ac:dyDescent="0.3">
      <c r="A52" s="20"/>
      <c r="B52" s="20"/>
      <c r="C52" s="20"/>
      <c r="D52" s="20"/>
      <c r="F52" s="10"/>
    </row>
    <row r="53" spans="1:6" ht="21" customHeight="1" x14ac:dyDescent="0.3">
      <c r="A53" s="20"/>
      <c r="B53" s="20"/>
      <c r="C53" s="20"/>
      <c r="D53" s="20"/>
      <c r="E53" s="17" t="s">
        <v>45</v>
      </c>
      <c r="F53" s="10"/>
    </row>
    <row r="54" spans="1:6" ht="21" customHeight="1" x14ac:dyDescent="0.3">
      <c r="A54" s="22"/>
      <c r="B54" s="22"/>
      <c r="C54" s="22"/>
      <c r="D54" s="51">
        <f>SUM(D48:D53)</f>
        <v>0</v>
      </c>
      <c r="E54" s="18">
        <v>2500</v>
      </c>
      <c r="F54" s="10"/>
    </row>
    <row r="55" spans="1:6" ht="21" customHeight="1" x14ac:dyDescent="0.3">
      <c r="A55" s="32" t="s">
        <v>58</v>
      </c>
      <c r="B55" s="33"/>
      <c r="C55" s="52"/>
      <c r="D55" s="44"/>
      <c r="F55" s="10"/>
    </row>
    <row r="56" spans="1:6" ht="21" customHeight="1" x14ac:dyDescent="0.3">
      <c r="A56" s="38"/>
      <c r="B56" s="39"/>
      <c r="C56" s="39"/>
      <c r="D56" s="40"/>
      <c r="E56" s="17" t="s">
        <v>80</v>
      </c>
      <c r="F56" s="10"/>
    </row>
    <row r="57" spans="1:6" ht="21" customHeight="1" x14ac:dyDescent="0.3">
      <c r="A57" s="41"/>
      <c r="B57" s="42"/>
      <c r="C57" s="42"/>
      <c r="D57" s="51">
        <f>SUM(D55:D56)</f>
        <v>0</v>
      </c>
      <c r="E57" s="17">
        <v>1000</v>
      </c>
      <c r="F57" s="10"/>
    </row>
    <row r="58" spans="1:6" ht="21" customHeight="1" x14ac:dyDescent="0.3">
      <c r="A58" s="43" t="s">
        <v>53</v>
      </c>
      <c r="B58" s="43" t="s">
        <v>54</v>
      </c>
      <c r="C58" s="43"/>
      <c r="D58" s="43"/>
      <c r="F58" s="10"/>
    </row>
    <row r="59" spans="1:6" ht="21" customHeight="1" x14ac:dyDescent="0.3">
      <c r="A59" s="20"/>
      <c r="B59" s="20"/>
      <c r="C59" s="20"/>
      <c r="D59" s="20"/>
      <c r="F59" s="10"/>
    </row>
    <row r="60" spans="1:6" ht="21" customHeight="1" x14ac:dyDescent="0.3">
      <c r="A60" s="20"/>
      <c r="B60" s="20"/>
      <c r="C60" s="20"/>
      <c r="D60" s="20"/>
      <c r="F60" s="10"/>
    </row>
    <row r="61" spans="1:6" ht="21" customHeight="1" x14ac:dyDescent="0.3">
      <c r="A61" s="20"/>
      <c r="B61" s="20"/>
      <c r="C61" s="20"/>
      <c r="D61" s="20"/>
      <c r="F61" s="10"/>
    </row>
    <row r="62" spans="1:6" ht="21" customHeight="1" x14ac:dyDescent="0.3">
      <c r="A62" s="20"/>
      <c r="B62" s="20"/>
      <c r="C62" s="20"/>
      <c r="D62" s="20"/>
      <c r="E62" s="17" t="s">
        <v>90</v>
      </c>
      <c r="F62" s="10"/>
    </row>
    <row r="63" spans="1:6" ht="21" customHeight="1" x14ac:dyDescent="0.3">
      <c r="A63" s="22"/>
      <c r="B63" s="22"/>
      <c r="C63" s="22"/>
      <c r="D63" s="51">
        <f>SUM(D58:D62)</f>
        <v>0</v>
      </c>
      <c r="E63" s="17">
        <v>1000</v>
      </c>
      <c r="F63" s="10"/>
    </row>
    <row r="64" spans="1:6" ht="21" customHeight="1" x14ac:dyDescent="0.3">
      <c r="A64" s="32" t="s">
        <v>43</v>
      </c>
      <c r="B64" s="33" t="s">
        <v>44</v>
      </c>
      <c r="C64" s="52"/>
      <c r="D64" s="34"/>
      <c r="F64" s="10"/>
    </row>
    <row r="65" spans="1:6" ht="21" customHeight="1" x14ac:dyDescent="0.3">
      <c r="A65" s="35">
        <v>8.1199999999999992</v>
      </c>
      <c r="B65" s="36" t="s">
        <v>156</v>
      </c>
      <c r="C65" s="36"/>
      <c r="D65" s="37">
        <v>71</v>
      </c>
    </row>
    <row r="66" spans="1:6" ht="21" customHeight="1" x14ac:dyDescent="0.3">
      <c r="A66" s="38"/>
      <c r="B66" s="39"/>
      <c r="C66" s="39"/>
      <c r="D66" s="40"/>
      <c r="E66" s="17" t="s">
        <v>91</v>
      </c>
      <c r="F66" s="10"/>
    </row>
    <row r="67" spans="1:6" ht="21" customHeight="1" x14ac:dyDescent="0.3">
      <c r="A67" s="41"/>
      <c r="B67" s="42"/>
      <c r="C67" s="42"/>
      <c r="D67" s="51">
        <f>SUM(D64:D66)</f>
        <v>71</v>
      </c>
      <c r="E67" s="17">
        <v>2900</v>
      </c>
      <c r="F67" s="10"/>
    </row>
    <row r="68" spans="1:6" ht="21" customHeight="1" x14ac:dyDescent="0.3">
      <c r="F68" s="10"/>
    </row>
    <row r="69" spans="1:6" ht="21" customHeight="1" x14ac:dyDescent="0.3">
      <c r="F69" s="10"/>
    </row>
    <row r="70" spans="1:6" ht="21" customHeight="1" x14ac:dyDescent="0.3">
      <c r="A70" s="2"/>
      <c r="B70" s="2"/>
      <c r="C70" s="2"/>
      <c r="D70" s="14">
        <f>SUM(D67,D63,D57,D54,D47,D41,D34,D32,D26,D18,D12,D5)</f>
        <v>1434.8</v>
      </c>
      <c r="E70">
        <f>SUM(E2:E69)</f>
        <v>43900</v>
      </c>
    </row>
    <row r="72" spans="1:6" ht="21" customHeight="1" x14ac:dyDescent="0.3">
      <c r="F72" s="7"/>
    </row>
    <row r="73" spans="1:6" ht="21" customHeight="1" x14ac:dyDescent="0.3">
      <c r="F73" s="10"/>
    </row>
    <row r="74" spans="1:6" ht="21" customHeight="1" x14ac:dyDescent="0.3">
      <c r="F74" s="10"/>
    </row>
    <row r="75" spans="1:6" ht="21" customHeight="1" x14ac:dyDescent="0.3">
      <c r="F75" s="10"/>
    </row>
    <row r="76" spans="1:6" ht="21" customHeight="1" x14ac:dyDescent="0.3">
      <c r="F76" s="10"/>
    </row>
    <row r="77" spans="1:6" ht="21" customHeight="1" x14ac:dyDescent="0.3">
      <c r="F77" s="10"/>
    </row>
    <row r="80" spans="1:6" ht="21" customHeight="1" x14ac:dyDescent="0.3">
      <c r="F80" s="7"/>
    </row>
    <row r="82" spans="6:6" ht="21" customHeight="1" x14ac:dyDescent="0.3">
      <c r="F82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סופי כולל</vt:lpstr>
      <vt:lpstr>הוצאות ימי עבודה</vt:lpstr>
      <vt:lpstr>הוצאות חומרים בניה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eshet noy</dc:creator>
  <cp:lastModifiedBy>eshet noy</cp:lastModifiedBy>
  <dcterms:created xsi:type="dcterms:W3CDTF">2025-12-09T19:25:03Z</dcterms:created>
  <dcterms:modified xsi:type="dcterms:W3CDTF">2025-12-11T18:08:11Z</dcterms:modified>
</cp:coreProperties>
</file>